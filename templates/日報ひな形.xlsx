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https://endiayh.sharepoint.com/sites/EN2-2/Shared Documents/日比野/日比野/2.労務/出勤簿/2025年度(R7年度)/"/>
    </mc:Choice>
  </mc:AlternateContent>
  <xr:revisionPtr revIDLastSave="178" documentId="13_ncr:1_{A8F2E39D-FF4D-482C-96B0-673AFA5D3629}" xr6:coauthVersionLast="47" xr6:coauthVersionMax="47" xr10:uidLastSave="{741447E3-C33D-4083-A128-415AD9F9E5D0}"/>
  <bookViews>
    <workbookView xWindow="-108" yWindow="-108" windowWidth="23256" windowHeight="12456" activeTab="4" xr2:uid="{00000000-000D-0000-FFFF-FFFF00000000}"/>
  </bookViews>
  <sheets>
    <sheet name="作業員配布用" sheetId="6" r:id="rId1"/>
    <sheet name="日比野" sheetId="10" r:id="rId2"/>
    <sheet name="前田" sheetId="9" r:id="rId3"/>
    <sheet name="佐藤" sheetId="5" r:id="rId4"/>
    <sheet name="辻" sheetId="8" r:id="rId5"/>
    <sheet name="友梨" sheetId="7" r:id="rId6"/>
    <sheet name="加藤" sheetId="11" r:id="rId7"/>
  </sheets>
  <definedNames>
    <definedName name="_xlnm.Print_Area" localSheetId="6">加藤!$B$1:$J$41</definedName>
    <definedName name="_xlnm.Print_Area" localSheetId="3">佐藤!$B$1:$J$41</definedName>
    <definedName name="_xlnm.Print_Area" localSheetId="0">作業員配布用!$B$2:$J$46</definedName>
    <definedName name="_xlnm.Print_Area" localSheetId="2">前田!$B$1:$J$41</definedName>
    <definedName name="_xlnm.Print_Area" localSheetId="4">辻!$B$1:$J$41</definedName>
    <definedName name="_xlnm.Print_Area" localSheetId="1">日比野!$B$1:$J$41</definedName>
    <definedName name="_xlnm.Print_Area" localSheetId="5">友梨!$B$1:$J$41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11" l="1"/>
  <c r="K39" i="11"/>
  <c r="K38" i="11"/>
  <c r="K37" i="11"/>
  <c r="M37" i="11" s="1"/>
  <c r="K36" i="11"/>
  <c r="K35" i="11"/>
  <c r="K34" i="11"/>
  <c r="K33" i="11"/>
  <c r="K32" i="11"/>
  <c r="M32" i="11" s="1"/>
  <c r="K31" i="11"/>
  <c r="M31" i="11" s="1"/>
  <c r="K30" i="11"/>
  <c r="M30" i="11" s="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41" i="11" s="1"/>
  <c r="K16" i="11"/>
  <c r="K15" i="11"/>
  <c r="M15" i="11" s="1"/>
  <c r="K14" i="11"/>
  <c r="K13" i="11"/>
  <c r="K12" i="11"/>
  <c r="K11" i="11"/>
  <c r="K10" i="11"/>
  <c r="H45" i="11"/>
  <c r="H44" i="11"/>
  <c r="H43" i="11"/>
  <c r="L40" i="11"/>
  <c r="M40" i="11"/>
  <c r="L39" i="11"/>
  <c r="M39" i="11"/>
  <c r="L38" i="11"/>
  <c r="M38" i="11" s="1"/>
  <c r="L37" i="11"/>
  <c r="M36" i="11"/>
  <c r="L36" i="11"/>
  <c r="L35" i="11"/>
  <c r="M35" i="11" s="1"/>
  <c r="L34" i="11"/>
  <c r="M34" i="11"/>
  <c r="M33" i="11"/>
  <c r="L33" i="11"/>
  <c r="L32" i="11"/>
  <c r="L31" i="11"/>
  <c r="L30" i="11"/>
  <c r="L29" i="11"/>
  <c r="L28" i="11"/>
  <c r="M28" i="11"/>
  <c r="L27" i="11"/>
  <c r="M27" i="11"/>
  <c r="L26" i="11"/>
  <c r="M26" i="11" s="1"/>
  <c r="L25" i="11"/>
  <c r="M25" i="11"/>
  <c r="M24" i="11"/>
  <c r="L24" i="11"/>
  <c r="L23" i="11"/>
  <c r="M23" i="11" s="1"/>
  <c r="L22" i="11"/>
  <c r="M22" i="11"/>
  <c r="M21" i="11"/>
  <c r="L21" i="11"/>
  <c r="L20" i="11"/>
  <c r="M20" i="11"/>
  <c r="M19" i="11"/>
  <c r="L19" i="11"/>
  <c r="M18" i="11"/>
  <c r="L18" i="11"/>
  <c r="L17" i="11"/>
  <c r="L16" i="11"/>
  <c r="M16" i="11"/>
  <c r="L15" i="11"/>
  <c r="L14" i="11"/>
  <c r="M14" i="11" s="1"/>
  <c r="L13" i="11"/>
  <c r="M13" i="11"/>
  <c r="M12" i="11"/>
  <c r="L12" i="11"/>
  <c r="L11" i="11"/>
  <c r="M11" i="11" s="1"/>
  <c r="L10" i="11"/>
  <c r="L41" i="11" s="1"/>
  <c r="B10" i="11"/>
  <c r="B39" i="11" s="1"/>
  <c r="C39" i="11" s="1"/>
  <c r="I3" i="11"/>
  <c r="M46" i="8"/>
  <c r="M46" i="5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10" i="8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10" i="5"/>
  <c r="H45" i="10"/>
  <c r="H44" i="10"/>
  <c r="H43" i="10"/>
  <c r="L40" i="10"/>
  <c r="K40" i="10"/>
  <c r="M40" i="10" s="1"/>
  <c r="L39" i="10"/>
  <c r="K39" i="10"/>
  <c r="M39" i="10" s="1"/>
  <c r="L38" i="10"/>
  <c r="K38" i="10"/>
  <c r="M38" i="10" s="1"/>
  <c r="L37" i="10"/>
  <c r="K37" i="10"/>
  <c r="M37" i="10" s="1"/>
  <c r="L36" i="10"/>
  <c r="K36" i="10"/>
  <c r="M36" i="10" s="1"/>
  <c r="L35" i="10"/>
  <c r="K35" i="10"/>
  <c r="M35" i="10" s="1"/>
  <c r="L34" i="10"/>
  <c r="K34" i="10"/>
  <c r="M34" i="10" s="1"/>
  <c r="L33" i="10"/>
  <c r="K33" i="10"/>
  <c r="M33" i="10" s="1"/>
  <c r="L32" i="10"/>
  <c r="K32" i="10"/>
  <c r="M32" i="10" s="1"/>
  <c r="L31" i="10"/>
  <c r="K31" i="10"/>
  <c r="M31" i="10" s="1"/>
  <c r="L30" i="10"/>
  <c r="K30" i="10"/>
  <c r="M30" i="10" s="1"/>
  <c r="L29" i="10"/>
  <c r="K29" i="10"/>
  <c r="M29" i="10" s="1"/>
  <c r="L28" i="10"/>
  <c r="K28" i="10"/>
  <c r="M28" i="10" s="1"/>
  <c r="L27" i="10"/>
  <c r="K27" i="10"/>
  <c r="M27" i="10" s="1"/>
  <c r="L26" i="10"/>
  <c r="K26" i="10"/>
  <c r="M26" i="10" s="1"/>
  <c r="L25" i="10"/>
  <c r="K25" i="10"/>
  <c r="M25" i="10" s="1"/>
  <c r="L24" i="10"/>
  <c r="K24" i="10"/>
  <c r="M24" i="10" s="1"/>
  <c r="L23" i="10"/>
  <c r="K23" i="10"/>
  <c r="M23" i="10" s="1"/>
  <c r="L22" i="10"/>
  <c r="K22" i="10"/>
  <c r="M22" i="10" s="1"/>
  <c r="L21" i="10"/>
  <c r="K21" i="10"/>
  <c r="M21" i="10" s="1"/>
  <c r="L20" i="10"/>
  <c r="K20" i="10"/>
  <c r="M20" i="10" s="1"/>
  <c r="L19" i="10"/>
  <c r="K19" i="10"/>
  <c r="M19" i="10" s="1"/>
  <c r="L18" i="10"/>
  <c r="K18" i="10"/>
  <c r="M18" i="10" s="1"/>
  <c r="L17" i="10"/>
  <c r="K17" i="10"/>
  <c r="M17" i="10" s="1"/>
  <c r="L16" i="10"/>
  <c r="K16" i="10"/>
  <c r="M16" i="10" s="1"/>
  <c r="L15" i="10"/>
  <c r="K15" i="10"/>
  <c r="M15" i="10" s="1"/>
  <c r="L14" i="10"/>
  <c r="K14" i="10"/>
  <c r="M14" i="10" s="1"/>
  <c r="L13" i="10"/>
  <c r="K13" i="10"/>
  <c r="M13" i="10" s="1"/>
  <c r="L12" i="10"/>
  <c r="K12" i="10"/>
  <c r="M12" i="10" s="1"/>
  <c r="L11" i="10"/>
  <c r="K11" i="10"/>
  <c r="M11" i="10" s="1"/>
  <c r="L10" i="10"/>
  <c r="L41" i="10" s="1"/>
  <c r="K10" i="10"/>
  <c r="B10" i="10"/>
  <c r="I3" i="10"/>
  <c r="H45" i="9"/>
  <c r="H44" i="9"/>
  <c r="H43" i="9"/>
  <c r="L40" i="9"/>
  <c r="K40" i="9"/>
  <c r="M40" i="9" s="1"/>
  <c r="L39" i="9"/>
  <c r="K39" i="9"/>
  <c r="M39" i="9" s="1"/>
  <c r="L38" i="9"/>
  <c r="K38" i="9"/>
  <c r="M38" i="9" s="1"/>
  <c r="L37" i="9"/>
  <c r="K37" i="9"/>
  <c r="M37" i="9" s="1"/>
  <c r="L36" i="9"/>
  <c r="K36" i="9"/>
  <c r="M36" i="9" s="1"/>
  <c r="L35" i="9"/>
  <c r="K35" i="9"/>
  <c r="M35" i="9" s="1"/>
  <c r="L34" i="9"/>
  <c r="K34" i="9"/>
  <c r="M34" i="9" s="1"/>
  <c r="L33" i="9"/>
  <c r="K33" i="9"/>
  <c r="M33" i="9" s="1"/>
  <c r="L32" i="9"/>
  <c r="K32" i="9"/>
  <c r="M32" i="9" s="1"/>
  <c r="L31" i="9"/>
  <c r="K31" i="9"/>
  <c r="M31" i="9" s="1"/>
  <c r="L30" i="9"/>
  <c r="K30" i="9"/>
  <c r="M30" i="9" s="1"/>
  <c r="L29" i="9"/>
  <c r="K29" i="9"/>
  <c r="M29" i="9" s="1"/>
  <c r="L28" i="9"/>
  <c r="K28" i="9"/>
  <c r="M28" i="9" s="1"/>
  <c r="L27" i="9"/>
  <c r="K27" i="9"/>
  <c r="M27" i="9" s="1"/>
  <c r="L26" i="9"/>
  <c r="K26" i="9"/>
  <c r="M26" i="9" s="1"/>
  <c r="L25" i="9"/>
  <c r="K25" i="9"/>
  <c r="M25" i="9" s="1"/>
  <c r="L24" i="9"/>
  <c r="K24" i="9"/>
  <c r="M24" i="9" s="1"/>
  <c r="L23" i="9"/>
  <c r="K23" i="9"/>
  <c r="M23" i="9" s="1"/>
  <c r="L22" i="9"/>
  <c r="K22" i="9"/>
  <c r="M22" i="9" s="1"/>
  <c r="L21" i="9"/>
  <c r="K21" i="9"/>
  <c r="M21" i="9" s="1"/>
  <c r="L20" i="9"/>
  <c r="K20" i="9"/>
  <c r="M20" i="9" s="1"/>
  <c r="L19" i="9"/>
  <c r="K19" i="9"/>
  <c r="M19" i="9" s="1"/>
  <c r="L18" i="9"/>
  <c r="K18" i="9"/>
  <c r="M18" i="9" s="1"/>
  <c r="L17" i="9"/>
  <c r="K17" i="9"/>
  <c r="M17" i="9" s="1"/>
  <c r="L16" i="9"/>
  <c r="K16" i="9"/>
  <c r="M16" i="9" s="1"/>
  <c r="L15" i="9"/>
  <c r="K15" i="9"/>
  <c r="M15" i="9" s="1"/>
  <c r="L14" i="9"/>
  <c r="K14" i="9"/>
  <c r="M14" i="9" s="1"/>
  <c r="L13" i="9"/>
  <c r="K13" i="9"/>
  <c r="M13" i="9" s="1"/>
  <c r="L12" i="9"/>
  <c r="K12" i="9"/>
  <c r="M12" i="9" s="1"/>
  <c r="L11" i="9"/>
  <c r="K11" i="9"/>
  <c r="M11" i="9" s="1"/>
  <c r="L10" i="9"/>
  <c r="L41" i="9" s="1"/>
  <c r="K10" i="9"/>
  <c r="B10" i="9"/>
  <c r="I3" i="9"/>
  <c r="H45" i="8"/>
  <c r="H44" i="8"/>
  <c r="H43" i="8"/>
  <c r="L40" i="8"/>
  <c r="M40" i="8"/>
  <c r="L39" i="8"/>
  <c r="M39" i="8"/>
  <c r="L38" i="8"/>
  <c r="M38" i="8"/>
  <c r="L37" i="8"/>
  <c r="M37" i="8"/>
  <c r="L36" i="8"/>
  <c r="M36" i="8"/>
  <c r="L35" i="8"/>
  <c r="M35" i="8"/>
  <c r="L34" i="8"/>
  <c r="M34" i="8"/>
  <c r="L33" i="8"/>
  <c r="M33" i="8"/>
  <c r="L32" i="8"/>
  <c r="M32" i="8"/>
  <c r="L31" i="8"/>
  <c r="M31" i="8"/>
  <c r="L30" i="8"/>
  <c r="M30" i="8"/>
  <c r="L29" i="8"/>
  <c r="M29" i="8"/>
  <c r="L28" i="8"/>
  <c r="M28" i="8"/>
  <c r="L27" i="8"/>
  <c r="M27" i="8"/>
  <c r="L26" i="8"/>
  <c r="M26" i="8"/>
  <c r="L25" i="8"/>
  <c r="M25" i="8"/>
  <c r="L24" i="8"/>
  <c r="M24" i="8"/>
  <c r="L23" i="8"/>
  <c r="M23" i="8"/>
  <c r="L22" i="8"/>
  <c r="M22" i="8"/>
  <c r="L21" i="8"/>
  <c r="M21" i="8"/>
  <c r="L20" i="8"/>
  <c r="M20" i="8"/>
  <c r="L19" i="8"/>
  <c r="M19" i="8"/>
  <c r="L18" i="8"/>
  <c r="M18" i="8"/>
  <c r="L17" i="8"/>
  <c r="M17" i="8"/>
  <c r="L16" i="8"/>
  <c r="M16" i="8"/>
  <c r="L15" i="8"/>
  <c r="M15" i="8"/>
  <c r="L14" i="8"/>
  <c r="M14" i="8"/>
  <c r="L13" i="8"/>
  <c r="M13" i="8"/>
  <c r="L12" i="8"/>
  <c r="M12" i="8"/>
  <c r="L11" i="8"/>
  <c r="M11" i="8"/>
  <c r="L10" i="8"/>
  <c r="L41" i="8" s="1"/>
  <c r="B10" i="8"/>
  <c r="I3" i="8"/>
  <c r="H45" i="7"/>
  <c r="H44" i="7"/>
  <c r="H43" i="7"/>
  <c r="L40" i="7"/>
  <c r="K40" i="7"/>
  <c r="M40" i="7" s="1"/>
  <c r="L39" i="7"/>
  <c r="K39" i="7"/>
  <c r="M39" i="7" s="1"/>
  <c r="L38" i="7"/>
  <c r="K38" i="7"/>
  <c r="M38" i="7" s="1"/>
  <c r="L37" i="7"/>
  <c r="K37" i="7"/>
  <c r="M37" i="7" s="1"/>
  <c r="L36" i="7"/>
  <c r="K36" i="7"/>
  <c r="M36" i="7" s="1"/>
  <c r="L35" i="7"/>
  <c r="K35" i="7"/>
  <c r="M35" i="7" s="1"/>
  <c r="L34" i="7"/>
  <c r="K34" i="7"/>
  <c r="M34" i="7" s="1"/>
  <c r="L33" i="7"/>
  <c r="K33" i="7"/>
  <c r="M33" i="7" s="1"/>
  <c r="L32" i="7"/>
  <c r="K32" i="7"/>
  <c r="M32" i="7" s="1"/>
  <c r="L31" i="7"/>
  <c r="K31" i="7"/>
  <c r="M31" i="7" s="1"/>
  <c r="L30" i="7"/>
  <c r="K30" i="7"/>
  <c r="M30" i="7" s="1"/>
  <c r="L29" i="7"/>
  <c r="K29" i="7"/>
  <c r="M29" i="7" s="1"/>
  <c r="L28" i="7"/>
  <c r="K28" i="7"/>
  <c r="M28" i="7" s="1"/>
  <c r="L27" i="7"/>
  <c r="K27" i="7"/>
  <c r="M27" i="7" s="1"/>
  <c r="L26" i="7"/>
  <c r="K26" i="7"/>
  <c r="M26" i="7" s="1"/>
  <c r="L25" i="7"/>
  <c r="K25" i="7"/>
  <c r="M25" i="7" s="1"/>
  <c r="L24" i="7"/>
  <c r="K24" i="7"/>
  <c r="M24" i="7" s="1"/>
  <c r="L23" i="7"/>
  <c r="K23" i="7"/>
  <c r="M23" i="7" s="1"/>
  <c r="L22" i="7"/>
  <c r="K22" i="7"/>
  <c r="M22" i="7" s="1"/>
  <c r="L21" i="7"/>
  <c r="K21" i="7"/>
  <c r="M21" i="7" s="1"/>
  <c r="L20" i="7"/>
  <c r="K20" i="7"/>
  <c r="M20" i="7" s="1"/>
  <c r="L19" i="7"/>
  <c r="K19" i="7"/>
  <c r="M19" i="7" s="1"/>
  <c r="L18" i="7"/>
  <c r="K18" i="7"/>
  <c r="M18" i="7" s="1"/>
  <c r="L17" i="7"/>
  <c r="K17" i="7"/>
  <c r="M17" i="7" s="1"/>
  <c r="L16" i="7"/>
  <c r="K16" i="7"/>
  <c r="M16" i="7" s="1"/>
  <c r="L15" i="7"/>
  <c r="K15" i="7"/>
  <c r="M15" i="7" s="1"/>
  <c r="L14" i="7"/>
  <c r="K14" i="7"/>
  <c r="M14" i="7" s="1"/>
  <c r="L13" i="7"/>
  <c r="K13" i="7"/>
  <c r="M13" i="7" s="1"/>
  <c r="L12" i="7"/>
  <c r="K12" i="7"/>
  <c r="M12" i="7" s="1"/>
  <c r="L11" i="7"/>
  <c r="K11" i="7"/>
  <c r="M11" i="7" s="1"/>
  <c r="L10" i="7"/>
  <c r="L41" i="7" s="1"/>
  <c r="K10" i="7"/>
  <c r="B10" i="7"/>
  <c r="I3" i="7"/>
  <c r="H50" i="6"/>
  <c r="H49" i="6"/>
  <c r="H48" i="6"/>
  <c r="L45" i="6"/>
  <c r="K45" i="6"/>
  <c r="L44" i="6"/>
  <c r="K44" i="6"/>
  <c r="L43" i="6"/>
  <c r="K43" i="6"/>
  <c r="M43" i="6" s="1"/>
  <c r="L42" i="6"/>
  <c r="K42" i="6"/>
  <c r="L41" i="6"/>
  <c r="K41" i="6"/>
  <c r="L40" i="6"/>
  <c r="K40" i="6"/>
  <c r="L39" i="6"/>
  <c r="K39" i="6"/>
  <c r="L38" i="6"/>
  <c r="K38" i="6"/>
  <c r="L37" i="6"/>
  <c r="K37" i="6"/>
  <c r="M37" i="6" s="1"/>
  <c r="L36" i="6"/>
  <c r="K36" i="6"/>
  <c r="L35" i="6"/>
  <c r="K35" i="6"/>
  <c r="L34" i="6"/>
  <c r="K34" i="6"/>
  <c r="L33" i="6"/>
  <c r="K33" i="6"/>
  <c r="L32" i="6"/>
  <c r="K32" i="6"/>
  <c r="L31" i="6"/>
  <c r="K31" i="6"/>
  <c r="M31" i="6" s="1"/>
  <c r="L30" i="6"/>
  <c r="K30" i="6"/>
  <c r="L29" i="6"/>
  <c r="K29" i="6"/>
  <c r="L28" i="6"/>
  <c r="K28" i="6"/>
  <c r="L27" i="6"/>
  <c r="K27" i="6"/>
  <c r="L26" i="6"/>
  <c r="K26" i="6"/>
  <c r="L25" i="6"/>
  <c r="K25" i="6"/>
  <c r="M25" i="6" s="1"/>
  <c r="L24" i="6"/>
  <c r="K24" i="6"/>
  <c r="L23" i="6"/>
  <c r="L22" i="6"/>
  <c r="K22" i="6"/>
  <c r="L21" i="6"/>
  <c r="K21" i="6"/>
  <c r="L20" i="6"/>
  <c r="K20" i="6"/>
  <c r="M20" i="6" s="1"/>
  <c r="L19" i="6"/>
  <c r="K19" i="6"/>
  <c r="M19" i="6" s="1"/>
  <c r="L18" i="6"/>
  <c r="K18" i="6"/>
  <c r="L17" i="6"/>
  <c r="K17" i="6"/>
  <c r="L16" i="6"/>
  <c r="K16" i="6"/>
  <c r="L15" i="6"/>
  <c r="K15" i="6"/>
  <c r="B15" i="6"/>
  <c r="I8" i="6"/>
  <c r="H45" i="5"/>
  <c r="H44" i="5"/>
  <c r="H43" i="5"/>
  <c r="L40" i="5"/>
  <c r="M40" i="5" s="1"/>
  <c r="L39" i="5"/>
  <c r="M39" i="5"/>
  <c r="L38" i="5"/>
  <c r="M38" i="5"/>
  <c r="L37" i="5"/>
  <c r="M37" i="5"/>
  <c r="L36" i="5"/>
  <c r="M36" i="5"/>
  <c r="L35" i="5"/>
  <c r="M35" i="5"/>
  <c r="L34" i="5"/>
  <c r="M34" i="5"/>
  <c r="L33" i="5"/>
  <c r="M33" i="5"/>
  <c r="L32" i="5"/>
  <c r="M32" i="5"/>
  <c r="L31" i="5"/>
  <c r="M31" i="5"/>
  <c r="L30" i="5"/>
  <c r="M30" i="5"/>
  <c r="L29" i="5"/>
  <c r="M29" i="5"/>
  <c r="L28" i="5"/>
  <c r="L27" i="5"/>
  <c r="M27" i="5"/>
  <c r="L26" i="5"/>
  <c r="M26" i="5"/>
  <c r="L25" i="5"/>
  <c r="M25" i="5"/>
  <c r="L24" i="5"/>
  <c r="M24" i="5"/>
  <c r="L23" i="5"/>
  <c r="M23" i="5"/>
  <c r="L22" i="5"/>
  <c r="M22" i="5"/>
  <c r="L21" i="5"/>
  <c r="M21" i="5"/>
  <c r="L20" i="5"/>
  <c r="M20" i="5"/>
  <c r="L19" i="5"/>
  <c r="M19" i="5"/>
  <c r="L18" i="5"/>
  <c r="L17" i="5"/>
  <c r="M17" i="5"/>
  <c r="L16" i="5"/>
  <c r="M16" i="5"/>
  <c r="L15" i="5"/>
  <c r="M15" i="5"/>
  <c r="L14" i="5"/>
  <c r="L13" i="5"/>
  <c r="M13" i="5"/>
  <c r="L12" i="5"/>
  <c r="L41" i="5" s="1"/>
  <c r="M12" i="5"/>
  <c r="L11" i="5"/>
  <c r="M11" i="5"/>
  <c r="L10" i="5"/>
  <c r="M10" i="5"/>
  <c r="B10" i="5"/>
  <c r="I3" i="5"/>
  <c r="M29" i="11" l="1"/>
  <c r="M17" i="11"/>
  <c r="B37" i="11"/>
  <c r="C37" i="11" s="1"/>
  <c r="B26" i="11"/>
  <c r="C26" i="11" s="1"/>
  <c r="B14" i="11"/>
  <c r="C14" i="11" s="1"/>
  <c r="B20" i="11"/>
  <c r="C20" i="11" s="1"/>
  <c r="B25" i="11"/>
  <c r="C25" i="11" s="1"/>
  <c r="B29" i="11"/>
  <c r="C29" i="11" s="1"/>
  <c r="B17" i="11"/>
  <c r="C17" i="11" s="1"/>
  <c r="B13" i="11"/>
  <c r="C13" i="11" s="1"/>
  <c r="B30" i="11"/>
  <c r="C30" i="11" s="1"/>
  <c r="B18" i="11"/>
  <c r="C18" i="11" s="1"/>
  <c r="C10" i="11"/>
  <c r="B27" i="11"/>
  <c r="C27" i="11" s="1"/>
  <c r="B15" i="11"/>
  <c r="C15" i="11" s="1"/>
  <c r="B32" i="11"/>
  <c r="C32" i="11" s="1"/>
  <c r="M26" i="6"/>
  <c r="M44" i="6"/>
  <c r="M16" i="6"/>
  <c r="M33" i="6"/>
  <c r="M39" i="6"/>
  <c r="M45" i="6"/>
  <c r="M21" i="6"/>
  <c r="M28" i="6"/>
  <c r="M40" i="6"/>
  <c r="M41" i="6"/>
  <c r="M24" i="6"/>
  <c r="M30" i="6"/>
  <c r="M36" i="6"/>
  <c r="M18" i="6"/>
  <c r="B11" i="11"/>
  <c r="C11" i="11" s="1"/>
  <c r="B23" i="11"/>
  <c r="C23" i="11" s="1"/>
  <c r="B35" i="11"/>
  <c r="C35" i="11" s="1"/>
  <c r="M10" i="11"/>
  <c r="B16" i="11"/>
  <c r="C16" i="11" s="1"/>
  <c r="B28" i="11"/>
  <c r="C28" i="11" s="1"/>
  <c r="B40" i="11"/>
  <c r="C40" i="11" s="1"/>
  <c r="B21" i="11"/>
  <c r="C21" i="11" s="1"/>
  <c r="B33" i="11"/>
  <c r="C33" i="11" s="1"/>
  <c r="B38" i="11"/>
  <c r="C38" i="11" s="1"/>
  <c r="B19" i="11"/>
  <c r="C19" i="11" s="1"/>
  <c r="B31" i="11"/>
  <c r="C31" i="11" s="1"/>
  <c r="B12" i="11"/>
  <c r="C12" i="11" s="1"/>
  <c r="B24" i="11"/>
  <c r="C24" i="11" s="1"/>
  <c r="B36" i="11"/>
  <c r="C36" i="11" s="1"/>
  <c r="B22" i="11"/>
  <c r="C22" i="11" s="1"/>
  <c r="B34" i="11"/>
  <c r="C34" i="11" s="1"/>
  <c r="M29" i="6"/>
  <c r="M38" i="6"/>
  <c r="B39" i="5"/>
  <c r="C39" i="5" s="1"/>
  <c r="B19" i="5"/>
  <c r="C19" i="5" s="1"/>
  <c r="B17" i="5"/>
  <c r="C17" i="5" s="1"/>
  <c r="B44" i="6"/>
  <c r="C44" i="6" s="1"/>
  <c r="B25" i="6"/>
  <c r="C25" i="6" s="1"/>
  <c r="B23" i="6"/>
  <c r="C23" i="6" s="1"/>
  <c r="B20" i="6"/>
  <c r="C20" i="6" s="1"/>
  <c r="B18" i="6"/>
  <c r="C18" i="6" s="1"/>
  <c r="C15" i="6"/>
  <c r="B40" i="10"/>
  <c r="C40" i="10" s="1"/>
  <c r="B39" i="10"/>
  <c r="C39" i="10" s="1"/>
  <c r="B38" i="10"/>
  <c r="C38" i="10" s="1"/>
  <c r="B37" i="10"/>
  <c r="C37" i="10" s="1"/>
  <c r="B36" i="10"/>
  <c r="C36" i="10" s="1"/>
  <c r="B35" i="10"/>
  <c r="C35" i="10" s="1"/>
  <c r="B34" i="10"/>
  <c r="C34" i="10" s="1"/>
  <c r="B33" i="10"/>
  <c r="C33" i="10" s="1"/>
  <c r="B32" i="10"/>
  <c r="C32" i="10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C10" i="10"/>
  <c r="K41" i="10"/>
  <c r="M10" i="10"/>
  <c r="M41" i="10" s="1"/>
  <c r="B40" i="9"/>
  <c r="C40" i="9" s="1"/>
  <c r="B39" i="9"/>
  <c r="C39" i="9" s="1"/>
  <c r="B38" i="9"/>
  <c r="C38" i="9" s="1"/>
  <c r="B37" i="9"/>
  <c r="C37" i="9" s="1"/>
  <c r="B36" i="9"/>
  <c r="C36" i="9" s="1"/>
  <c r="B35" i="9"/>
  <c r="C35" i="9" s="1"/>
  <c r="B34" i="9"/>
  <c r="C34" i="9" s="1"/>
  <c r="B33" i="9"/>
  <c r="C33" i="9" s="1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C10" i="9"/>
  <c r="K41" i="9"/>
  <c r="M10" i="9"/>
  <c r="M41" i="9" s="1"/>
  <c r="B40" i="8"/>
  <c r="C40" i="8" s="1"/>
  <c r="B39" i="8"/>
  <c r="C39" i="8" s="1"/>
  <c r="B38" i="8"/>
  <c r="C38" i="8" s="1"/>
  <c r="B37" i="8"/>
  <c r="C37" i="8" s="1"/>
  <c r="B36" i="8"/>
  <c r="C36" i="8" s="1"/>
  <c r="B35" i="8"/>
  <c r="C35" i="8" s="1"/>
  <c r="B34" i="8"/>
  <c r="C34" i="8" s="1"/>
  <c r="B33" i="8"/>
  <c r="C33" i="8" s="1"/>
  <c r="B32" i="8"/>
  <c r="C32" i="8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C10" i="8"/>
  <c r="K41" i="8"/>
  <c r="M43" i="8" s="1"/>
  <c r="M45" i="8" s="1"/>
  <c r="M10" i="8"/>
  <c r="M41" i="8" s="1"/>
  <c r="B40" i="7"/>
  <c r="C40" i="7" s="1"/>
  <c r="B39" i="7"/>
  <c r="C39" i="7" s="1"/>
  <c r="B38" i="7"/>
  <c r="C38" i="7" s="1"/>
  <c r="B37" i="7"/>
  <c r="C37" i="7" s="1"/>
  <c r="B36" i="7"/>
  <c r="C36" i="7" s="1"/>
  <c r="B35" i="7"/>
  <c r="C35" i="7" s="1"/>
  <c r="B34" i="7"/>
  <c r="C34" i="7" s="1"/>
  <c r="B33" i="7"/>
  <c r="C33" i="7" s="1"/>
  <c r="B32" i="7"/>
  <c r="C32" i="7" s="1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C10" i="7"/>
  <c r="K41" i="7"/>
  <c r="M10" i="7"/>
  <c r="M41" i="7" s="1"/>
  <c r="M14" i="5"/>
  <c r="M28" i="5"/>
  <c r="M17" i="6"/>
  <c r="M32" i="6"/>
  <c r="M42" i="6"/>
  <c r="M22" i="6"/>
  <c r="M27" i="6"/>
  <c r="M34" i="6"/>
  <c r="M35" i="6"/>
  <c r="L46" i="6"/>
  <c r="M15" i="6"/>
  <c r="B42" i="6"/>
  <c r="C42" i="6" s="1"/>
  <c r="K23" i="6"/>
  <c r="M23" i="6" s="1"/>
  <c r="B33" i="6"/>
  <c r="C33" i="6" s="1"/>
  <c r="B45" i="6"/>
  <c r="C45" i="6" s="1"/>
  <c r="B26" i="6"/>
  <c r="C26" i="6" s="1"/>
  <c r="B38" i="6"/>
  <c r="C38" i="6" s="1"/>
  <c r="B30" i="6"/>
  <c r="C30" i="6" s="1"/>
  <c r="B28" i="6"/>
  <c r="C28" i="6" s="1"/>
  <c r="B40" i="6"/>
  <c r="C40" i="6" s="1"/>
  <c r="B19" i="6"/>
  <c r="C19" i="6" s="1"/>
  <c r="B17" i="6"/>
  <c r="C17" i="6" s="1"/>
  <c r="B31" i="6"/>
  <c r="C31" i="6" s="1"/>
  <c r="B43" i="6"/>
  <c r="C43" i="6" s="1"/>
  <c r="B37" i="6"/>
  <c r="C37" i="6" s="1"/>
  <c r="B16" i="6"/>
  <c r="C16" i="6" s="1"/>
  <c r="B21" i="6"/>
  <c r="C21" i="6" s="1"/>
  <c r="B35" i="6"/>
  <c r="C35" i="6" s="1"/>
  <c r="B22" i="6"/>
  <c r="C22" i="6" s="1"/>
  <c r="B24" i="6"/>
  <c r="C24" i="6" s="1"/>
  <c r="B36" i="6"/>
  <c r="C36" i="6" s="1"/>
  <c r="B29" i="6"/>
  <c r="C29" i="6" s="1"/>
  <c r="B41" i="6"/>
  <c r="C41" i="6" s="1"/>
  <c r="B34" i="6"/>
  <c r="C34" i="6" s="1"/>
  <c r="B27" i="6"/>
  <c r="C27" i="6" s="1"/>
  <c r="B39" i="6"/>
  <c r="C39" i="6" s="1"/>
  <c r="B32" i="6"/>
  <c r="C32" i="6" s="1"/>
  <c r="C10" i="5"/>
  <c r="B13" i="5"/>
  <c r="C13" i="5" s="1"/>
  <c r="B27" i="5"/>
  <c r="C27" i="5" s="1"/>
  <c r="B18" i="5"/>
  <c r="C18" i="5" s="1"/>
  <c r="M18" i="5"/>
  <c r="M41" i="5" s="1"/>
  <c r="B23" i="5"/>
  <c r="C23" i="5" s="1"/>
  <c r="B14" i="5"/>
  <c r="C14" i="5" s="1"/>
  <c r="B28" i="5"/>
  <c r="C28" i="5" s="1"/>
  <c r="B40" i="5"/>
  <c r="C40" i="5" s="1"/>
  <c r="B36" i="5"/>
  <c r="C36" i="5" s="1"/>
  <c r="B29" i="5"/>
  <c r="C29" i="5" s="1"/>
  <c r="B22" i="5"/>
  <c r="C22" i="5" s="1"/>
  <c r="B34" i="5"/>
  <c r="C34" i="5" s="1"/>
  <c r="B32" i="5"/>
  <c r="C32" i="5" s="1"/>
  <c r="B16" i="5"/>
  <c r="C16" i="5" s="1"/>
  <c r="B35" i="5"/>
  <c r="C35" i="5" s="1"/>
  <c r="B21" i="5"/>
  <c r="C21" i="5" s="1"/>
  <c r="B33" i="5"/>
  <c r="C33" i="5" s="1"/>
  <c r="B31" i="5"/>
  <c r="C31" i="5" s="1"/>
  <c r="B24" i="5"/>
  <c r="C24" i="5" s="1"/>
  <c r="B15" i="5"/>
  <c r="C15" i="5" s="1"/>
  <c r="B20" i="5"/>
  <c r="C20" i="5" s="1"/>
  <c r="B11" i="5"/>
  <c r="C11" i="5" s="1"/>
  <c r="B25" i="5"/>
  <c r="C25" i="5" s="1"/>
  <c r="B37" i="5"/>
  <c r="C37" i="5" s="1"/>
  <c r="B30" i="5"/>
  <c r="C30" i="5" s="1"/>
  <c r="B12" i="5"/>
  <c r="C12" i="5" s="1"/>
  <c r="B26" i="5"/>
  <c r="C26" i="5" s="1"/>
  <c r="B38" i="5"/>
  <c r="C38" i="5" s="1"/>
  <c r="K41" i="5"/>
  <c r="M43" i="5" s="1"/>
  <c r="M45" i="5" s="1"/>
  <c r="M41" i="11" l="1"/>
  <c r="M46" i="6"/>
  <c r="K4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yhibi</author>
  </authors>
  <commentList>
    <comment ref="M46" authorId="0" shapeId="0" xr:uid="{7E9C49BA-64D1-4BFB-A9D1-6886341655A8}">
      <text>
        <r>
          <rPr>
            <sz val="9"/>
            <color indexed="81"/>
            <rFont val="MS P ゴシック"/>
            <family val="3"/>
            <charset val="128"/>
          </rPr>
          <t xml:space="preserve">みなし残業として毎月30時間分を支給。
残業が30時間以上の場合は実質残業時間分を支給。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yhibi</author>
  </authors>
  <commentList>
    <comment ref="M41" authorId="0" shapeId="0" xr:uid="{627A320C-943E-48C2-BEEA-38F91F8D69DE}">
      <text>
        <r>
          <rPr>
            <sz val="9"/>
            <color indexed="81"/>
            <rFont val="MS P ゴシック"/>
            <family val="3"/>
            <charset val="128"/>
          </rPr>
          <t xml:space="preserve">みなし残業として毎月30時間分を支給。
残業が30時間以上の場合は実質残業時間分を支給。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yhibi</author>
  </authors>
  <commentList>
    <comment ref="M41" authorId="0" shapeId="0" xr:uid="{6CFB63CF-9DC4-4197-A0A7-05023E25A33F}">
      <text>
        <r>
          <rPr>
            <sz val="9"/>
            <color indexed="81"/>
            <rFont val="MS P ゴシック"/>
            <family val="3"/>
            <charset val="128"/>
          </rPr>
          <t xml:space="preserve">みなし残業として毎月30時間分を支給。
残業が30時間以上の場合は実質残業時間分を支給。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yhibi</author>
  </authors>
  <commentList>
    <comment ref="M41" authorId="0" shapeId="0" xr:uid="{4193966D-BB4B-4104-BC3B-7BAE6D702C5C}">
      <text>
        <r>
          <rPr>
            <sz val="9"/>
            <color indexed="81"/>
            <rFont val="MS P ゴシック"/>
            <family val="3"/>
            <charset val="128"/>
          </rPr>
          <t xml:space="preserve">みなし残業として毎月30時間分を支給。
残業が30時間以上の場合は実質残業時間分を支給。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yhibi</author>
  </authors>
  <commentList>
    <comment ref="M41" authorId="0" shapeId="0" xr:uid="{60788848-8694-4A1C-A58F-E1DAD8043AD3}">
      <text>
        <r>
          <rPr>
            <sz val="9"/>
            <color indexed="81"/>
            <rFont val="MS P ゴシック"/>
            <family val="3"/>
            <charset val="128"/>
          </rPr>
          <t xml:space="preserve">みなし残業として毎月30時間分を支給。
残業が30時間以上の場合は実質残業時間分を支給。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yhibi</author>
  </authors>
  <commentList>
    <comment ref="M41" authorId="0" shapeId="0" xr:uid="{EAAF6C6B-4715-4DBF-96D4-1445AB834526}">
      <text>
        <r>
          <rPr>
            <sz val="9"/>
            <color indexed="81"/>
            <rFont val="MS P ゴシック"/>
            <family val="3"/>
            <charset val="128"/>
          </rPr>
          <t xml:space="preserve">みなし残業として毎月30時間分を支給。
残業が30時間以上の場合は実質残業時間分を支給。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yhibi</author>
  </authors>
  <commentList>
    <comment ref="M41" authorId="0" shapeId="0" xr:uid="{3ED920CE-8A54-4A52-B6D6-FD59079EEFB1}">
      <text>
        <r>
          <rPr>
            <sz val="9"/>
            <color indexed="81"/>
            <rFont val="MS P ゴシック"/>
            <family val="3"/>
            <charset val="128"/>
          </rPr>
          <t xml:space="preserve">みなし残業として毎月30時間分を支給。
残業が30時間以上の場合は実質残業時間分を支給。
</t>
        </r>
      </text>
    </comment>
  </commentList>
</comments>
</file>

<file path=xl/sharedStrings.xml><?xml version="1.0" encoding="utf-8"?>
<sst xmlns="http://schemas.openxmlformats.org/spreadsheetml/2006/main" count="390" uniqueCount="53">
  <si>
    <t>※①出勤時刻　：　朝、段取りや乗り合わせのために会社に出社した時刻</t>
  </si>
  <si>
    <t>※⑥退勤時刻　：　後片付け、翌日の段取りなどで作業した後に会社を出た時刻</t>
  </si>
  <si>
    <t>※自宅から直行直帰の場合は、①②⑤⑥の記入不要。　③④のみ記入。</t>
  </si>
  <si>
    <t>※事務所・倉庫から出発到着の場合は①～⑥すべて記入。</t>
  </si>
  <si>
    <t>年</t>
    <rPh sb="0" eb="1">
      <t>ネン</t>
    </rPh>
    <phoneticPr fontId="1"/>
  </si>
  <si>
    <t>月　出勤簿</t>
    <rPh sb="0" eb="1">
      <t>ツキ</t>
    </rPh>
    <rPh sb="2" eb="4">
      <t>シュッキン</t>
    </rPh>
    <rPh sb="4" eb="5">
      <t>ボ</t>
    </rPh>
    <phoneticPr fontId="1"/>
  </si>
  <si>
    <t>氏名</t>
    <rPh sb="0" eb="2">
      <t>シメイ</t>
    </rPh>
    <phoneticPr fontId="1"/>
  </si>
  <si>
    <t>勤務開始</t>
    <rPh sb="0" eb="2">
      <t>キンム</t>
    </rPh>
    <rPh sb="2" eb="4">
      <t>カイシ</t>
    </rPh>
    <phoneticPr fontId="1"/>
  </si>
  <si>
    <t>勤務終了</t>
    <rPh sb="0" eb="2">
      <t>キンム</t>
    </rPh>
    <rPh sb="2" eb="4">
      <t>シュウリョウ</t>
    </rPh>
    <phoneticPr fontId="1"/>
  </si>
  <si>
    <t>休憩時間</t>
    <rPh sb="0" eb="2">
      <t>キュウケイ</t>
    </rPh>
    <rPh sb="2" eb="4">
      <t>ジカン</t>
    </rPh>
    <phoneticPr fontId="1"/>
  </si>
  <si>
    <t>所定時間</t>
    <rPh sb="0" eb="2">
      <t>ショテイ</t>
    </rPh>
    <rPh sb="2" eb="4">
      <t>ジカン</t>
    </rPh>
    <phoneticPr fontId="1"/>
  </si>
  <si>
    <t>青色部分は所定休</t>
  </si>
  <si>
    <t>日付</t>
    <rPh sb="0" eb="2">
      <t>ヒヅケ</t>
    </rPh>
    <phoneticPr fontId="1"/>
  </si>
  <si>
    <t>区分</t>
    <rPh sb="0" eb="2">
      <t>クブン</t>
    </rPh>
    <phoneticPr fontId="1"/>
  </si>
  <si>
    <t>①出勤時刻</t>
  </si>
  <si>
    <t>②現場到着時刻</t>
  </si>
  <si>
    <t>③勤務開始時刻</t>
  </si>
  <si>
    <t>④勤務終了時刻</t>
  </si>
  <si>
    <t>⑤会社到着時刻</t>
  </si>
  <si>
    <t>⑥退勤時刻</t>
  </si>
  <si>
    <t>移動・会社作業時間</t>
  </si>
  <si>
    <t>現場作業時間</t>
  </si>
  <si>
    <t>時間外</t>
    <rPh sb="0" eb="3">
      <t>ジカンガイ</t>
    </rPh>
    <phoneticPr fontId="1"/>
  </si>
  <si>
    <t>：</t>
  </si>
  <si>
    <t>合計時間</t>
    <rPh sb="0" eb="2">
      <t>ゴウケイ</t>
    </rPh>
    <rPh sb="2" eb="4">
      <t>ジカン</t>
    </rPh>
    <phoneticPr fontId="1"/>
  </si>
  <si>
    <t>出勤日数</t>
    <rPh sb="0" eb="2">
      <t>シュッキン</t>
    </rPh>
    <rPh sb="2" eb="3">
      <t>ヒ</t>
    </rPh>
    <rPh sb="3" eb="4">
      <t>カズ</t>
    </rPh>
    <phoneticPr fontId="1"/>
  </si>
  <si>
    <t>欠勤日数</t>
    <rPh sb="0" eb="2">
      <t>ケッキン</t>
    </rPh>
    <rPh sb="2" eb="3">
      <t>ヒ</t>
    </rPh>
    <rPh sb="3" eb="4">
      <t>カズ</t>
    </rPh>
    <phoneticPr fontId="1"/>
  </si>
  <si>
    <t>有給日数</t>
    <rPh sb="0" eb="2">
      <t>ユウキュウ</t>
    </rPh>
    <rPh sb="2" eb="3">
      <t>ヒ</t>
    </rPh>
    <rPh sb="3" eb="4">
      <t>カズ</t>
    </rPh>
    <phoneticPr fontId="1"/>
  </si>
  <si>
    <t>日比野光伸</t>
  </si>
  <si>
    <t>前田勝司</t>
  </si>
  <si>
    <t>佐藤謙介</t>
  </si>
  <si>
    <t>総労働時間</t>
    <rPh sb="0" eb="1">
      <t>ソウ</t>
    </rPh>
    <rPh sb="1" eb="3">
      <t>ロウドウ</t>
    </rPh>
    <rPh sb="3" eb="5">
      <t>ジカン</t>
    </rPh>
    <phoneticPr fontId="1"/>
  </si>
  <si>
    <t>多い方を採用</t>
    <rPh sb="0" eb="1">
      <t>オオ</t>
    </rPh>
    <rPh sb="2" eb="3">
      <t>ホウ</t>
    </rPh>
    <rPh sb="4" eb="6">
      <t>サイヨウ</t>
    </rPh>
    <phoneticPr fontId="1"/>
  </si>
  <si>
    <t>法定労働時間</t>
    <rPh sb="0" eb="2">
      <t>ホウテイ</t>
    </rPh>
    <rPh sb="2" eb="4">
      <t>ロウドウ</t>
    </rPh>
    <rPh sb="4" eb="6">
      <t>ジカン</t>
    </rPh>
    <phoneticPr fontId="1"/>
  </si>
  <si>
    <t>（給与明細に記載）</t>
    <rPh sb="1" eb="3">
      <t>キュウヨ</t>
    </rPh>
    <rPh sb="3" eb="5">
      <t>メイサイ</t>
    </rPh>
    <rPh sb="6" eb="8">
      <t>キサイ</t>
    </rPh>
    <phoneticPr fontId="1"/>
  </si>
  <si>
    <t>総労働時間-法定労働時間</t>
    <rPh sb="0" eb="1">
      <t>ソウ</t>
    </rPh>
    <rPh sb="1" eb="3">
      <t>ロウドウ</t>
    </rPh>
    <rPh sb="3" eb="5">
      <t>ジカン</t>
    </rPh>
    <rPh sb="6" eb="8">
      <t>ホウテイ</t>
    </rPh>
    <rPh sb="8" eb="10">
      <t>ロウドウ</t>
    </rPh>
    <rPh sb="10" eb="12">
      <t>ジカン</t>
    </rPh>
    <phoneticPr fontId="1"/>
  </si>
  <si>
    <t>労働時間</t>
  </si>
  <si>
    <t>対象期間が1か月の場合の上限時間</t>
    <rPh sb="0" eb="2">
      <t>タイショウ</t>
    </rPh>
    <rPh sb="2" eb="4">
      <t>キカン</t>
    </rPh>
    <rPh sb="7" eb="8">
      <t>ゲツ</t>
    </rPh>
    <rPh sb="9" eb="11">
      <t>バアイ</t>
    </rPh>
    <rPh sb="12" eb="14">
      <t>ジョウゲン</t>
    </rPh>
    <rPh sb="14" eb="16">
      <t>ジカン</t>
    </rPh>
    <phoneticPr fontId="1"/>
  </si>
  <si>
    <t>週の法定労働時間</t>
    <rPh sb="0" eb="1">
      <t>シュウ</t>
    </rPh>
    <rPh sb="2" eb="4">
      <t>ホウテイ</t>
    </rPh>
    <rPh sb="4" eb="6">
      <t>ロウドウ</t>
    </rPh>
    <rPh sb="6" eb="8">
      <t>ジカン</t>
    </rPh>
    <phoneticPr fontId="1"/>
  </si>
  <si>
    <t>月の暦日数</t>
    <rPh sb="0" eb="1">
      <t>ツキ</t>
    </rPh>
    <rPh sb="2" eb="3">
      <t>レキ</t>
    </rPh>
    <rPh sb="3" eb="5">
      <t>ニッスウ</t>
    </rPh>
    <phoneticPr fontId="1"/>
  </si>
  <si>
    <t>28日</t>
    <rPh sb="2" eb="3">
      <t>ニチ</t>
    </rPh>
    <phoneticPr fontId="1"/>
  </si>
  <si>
    <t>29日</t>
    <rPh sb="2" eb="3">
      <t>ニチ</t>
    </rPh>
    <phoneticPr fontId="1"/>
  </si>
  <si>
    <t>30日</t>
    <rPh sb="2" eb="3">
      <t>ニチ</t>
    </rPh>
    <phoneticPr fontId="1"/>
  </si>
  <si>
    <t>31日</t>
    <rPh sb="2" eb="3">
      <t>ニチ</t>
    </rPh>
    <phoneticPr fontId="1"/>
  </si>
  <si>
    <t>(単位=時間）</t>
    <rPh sb="1" eb="3">
      <t>タンイ</t>
    </rPh>
    <rPh sb="4" eb="6">
      <t>ジカン</t>
    </rPh>
    <phoneticPr fontId="1"/>
  </si>
  <si>
    <t>↓</t>
    <phoneticPr fontId="1"/>
  </si>
  <si>
    <t>(単位=〇時間：〇分）</t>
    <rPh sb="1" eb="3">
      <t>タンイ</t>
    </rPh>
    <rPh sb="5" eb="7">
      <t>ジカン</t>
    </rPh>
    <rPh sb="9" eb="10">
      <t>フン</t>
    </rPh>
    <phoneticPr fontId="1"/>
  </si>
  <si>
    <t>辻湧生</t>
  </si>
  <si>
    <t>日比野友梨</t>
  </si>
  <si>
    <t>加藤貴久</t>
    <rPh sb="0" eb="2">
      <t>カトウ</t>
    </rPh>
    <rPh sb="2" eb="4">
      <t>タカヒサ</t>
    </rPh>
    <phoneticPr fontId="1"/>
  </si>
  <si>
    <t>：</t>
    <phoneticPr fontId="1"/>
  </si>
  <si>
    <t>青色部分は所定休</t>
    <rPh sb="0" eb="2">
      <t>アオイロ</t>
    </rPh>
    <rPh sb="2" eb="4">
      <t>ブブン</t>
    </rPh>
    <phoneticPr fontId="1"/>
  </si>
  <si>
    <t>有給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</si>
</sst>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d"/>
    <numFmt numFmtId="177" formatCode="aaa"/>
    <numFmt numFmtId="178" formatCode="[h]:mm;#;#"/>
    <numFmt numFmtId="179" formatCode="h:mm;;"/>
    <numFmt numFmtId="180" formatCode="0_ "/>
    <numFmt numFmtId="181" formatCode="0.0_ "/>
  </numFmts>
  <fonts count="23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6"/>
      <color theme="1"/>
      <name val="ＭＳ Ｐゴシック"/>
      <family val="2"/>
      <charset val="128"/>
      <scheme val="minor"/>
    </font>
    <font>
      <sz val="16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b/>
      <sz val="16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12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1"/>
      <color theme="1"/>
      <name val="BIZ UDゴシック"/>
      <family val="3"/>
      <charset val="128"/>
    </font>
    <font>
      <sz val="9"/>
      <color theme="1"/>
      <name val="BIZ UDゴシック"/>
      <family val="3"/>
      <charset val="128"/>
    </font>
    <font>
      <sz val="10"/>
      <color theme="1"/>
      <name val="BIZ UDPゴシック"/>
      <family val="3"/>
      <charset val="128"/>
    </font>
    <font>
      <sz val="18"/>
      <color theme="1"/>
      <name val="BIZ UDPゴシック"/>
      <family val="3"/>
      <charset val="128"/>
    </font>
    <font>
      <b/>
      <sz val="18"/>
      <color theme="1"/>
      <name val="BIZ UDPゴシック"/>
      <family val="3"/>
      <charset val="128"/>
    </font>
    <font>
      <sz val="18"/>
      <color theme="0"/>
      <name val="BIZ UDPゴシック"/>
      <family val="3"/>
      <charset val="128"/>
    </font>
    <font>
      <sz val="14"/>
      <color theme="1"/>
      <name val="BIZ UDPゴシック"/>
      <family val="3"/>
      <charset val="128"/>
    </font>
    <font>
      <sz val="9"/>
      <color indexed="81"/>
      <name val="MS P ゴシック"/>
      <family val="3"/>
      <charset val="128"/>
    </font>
    <font>
      <sz val="9"/>
      <color theme="1"/>
      <name val="ＭＳ ゴシック"/>
      <family val="3"/>
      <charset val="128"/>
    </font>
    <font>
      <sz val="9"/>
      <color theme="1"/>
      <name val="ＭＳ Ｐゴシック"/>
      <family val="2"/>
      <charset val="128"/>
      <scheme val="minor"/>
    </font>
    <font>
      <b/>
      <sz val="20"/>
      <color theme="1"/>
      <name val="ＭＳ Ｐゴシック"/>
      <family val="3"/>
      <charset val="128"/>
      <scheme val="minor"/>
    </font>
    <font>
      <b/>
      <sz val="28"/>
      <color theme="1"/>
      <name val="ＭＳ Ｐゴシック"/>
      <family val="3"/>
      <charset val="128"/>
      <scheme val="minor"/>
    </font>
    <font>
      <sz val="8"/>
      <color theme="1"/>
      <name val="ＭＳ Ｐゴシック"/>
      <family val="2"/>
      <charset val="128"/>
      <scheme val="minor"/>
    </font>
    <font>
      <sz val="8"/>
      <color theme="1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/>
      <right style="dotted">
        <color auto="1"/>
      </right>
      <top style="medium">
        <color auto="1"/>
      </top>
      <bottom style="thin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/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rgb="FF000000"/>
      </right>
      <top style="medium">
        <color auto="1"/>
      </top>
      <bottom style="thin">
        <color auto="1"/>
      </bottom>
      <diagonal/>
    </border>
    <border>
      <left style="dotted">
        <color rgb="FF000000"/>
      </left>
      <right style="dotted">
        <color rgb="FF000000"/>
      </right>
      <top style="medium">
        <color auto="1"/>
      </top>
      <bottom style="thin">
        <color auto="1"/>
      </bottom>
      <diagonal/>
    </border>
    <border>
      <left style="dotted">
        <color rgb="FF000000"/>
      </left>
      <right style="medium">
        <color rgb="FF000000"/>
      </right>
      <top style="medium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9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9" fillId="0" borderId="17" xfId="0" applyNumberFormat="1" applyFont="1" applyBorder="1" applyAlignment="1">
      <alignment horizontal="center" vertical="center"/>
    </xf>
    <xf numFmtId="0" fontId="0" fillId="0" borderId="4" xfId="0" applyBorder="1">
      <alignment vertical="center"/>
    </xf>
    <xf numFmtId="0" fontId="6" fillId="0" borderId="21" xfId="0" applyFont="1" applyBorder="1">
      <alignment vertical="center"/>
    </xf>
    <xf numFmtId="0" fontId="0" fillId="0" borderId="4" xfId="0" applyBorder="1" applyAlignment="1">
      <alignment horizontal="left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4" fontId="14" fillId="0" borderId="0" xfId="0" applyNumberFormat="1" applyFont="1">
      <alignment vertical="center"/>
    </xf>
    <xf numFmtId="14" fontId="15" fillId="0" borderId="0" xfId="0" applyNumberFormat="1" applyFont="1">
      <alignment vertical="center"/>
    </xf>
    <xf numFmtId="0" fontId="15" fillId="0" borderId="0" xfId="0" applyFont="1">
      <alignment vertical="center"/>
    </xf>
    <xf numFmtId="0" fontId="15" fillId="0" borderId="0" xfId="0" applyFont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14" fontId="15" fillId="0" borderId="17" xfId="0" applyNumberFormat="1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0" fillId="0" borderId="34" xfId="0" applyBorder="1">
      <alignment vertical="center"/>
    </xf>
    <xf numFmtId="20" fontId="0" fillId="0" borderId="0" xfId="0" applyNumberFormat="1" applyAlignment="1">
      <alignment horizontal="center" vertical="center"/>
    </xf>
    <xf numFmtId="0" fontId="18" fillId="3" borderId="28" xfId="0" applyFont="1" applyFill="1" applyBorder="1" applyAlignment="1">
      <alignment horizontal="center" vertical="center"/>
    </xf>
    <xf numFmtId="0" fontId="17" fillId="4" borderId="31" xfId="0" applyFont="1" applyFill="1" applyBorder="1" applyAlignment="1">
      <alignment horizontal="center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180" fontId="0" fillId="0" borderId="3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0" fontId="17" fillId="2" borderId="37" xfId="0" applyFont="1" applyFill="1" applyBorder="1" applyAlignment="1">
      <alignment horizontal="center" vertical="center"/>
    </xf>
    <xf numFmtId="0" fontId="17" fillId="2" borderId="38" xfId="0" applyFont="1" applyFill="1" applyBorder="1" applyAlignment="1">
      <alignment horizontal="center" vertical="center"/>
    </xf>
    <xf numFmtId="0" fontId="17" fillId="3" borderId="38" xfId="0" applyFont="1" applyFill="1" applyBorder="1" applyAlignment="1">
      <alignment horizontal="center" vertical="center"/>
    </xf>
    <xf numFmtId="0" fontId="17" fillId="2" borderId="39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8" fontId="0" fillId="0" borderId="40" xfId="0" applyNumberFormat="1" applyBorder="1">
      <alignment vertical="center"/>
    </xf>
    <xf numFmtId="0" fontId="8" fillId="5" borderId="0" xfId="0" applyFont="1" applyFill="1">
      <alignment vertical="center"/>
    </xf>
    <xf numFmtId="176" fontId="4" fillId="5" borderId="2" xfId="0" applyNumberFormat="1" applyFont="1" applyFill="1" applyBorder="1" applyAlignment="1">
      <alignment horizontal="center" vertical="center" wrapText="1"/>
    </xf>
    <xf numFmtId="177" fontId="4" fillId="5" borderId="3" xfId="0" applyNumberFormat="1" applyFont="1" applyFill="1" applyBorder="1" applyAlignment="1">
      <alignment horizontal="center" vertical="center"/>
    </xf>
    <xf numFmtId="177" fontId="4" fillId="5" borderId="4" xfId="0" applyNumberFormat="1" applyFont="1" applyFill="1" applyBorder="1" applyAlignment="1">
      <alignment horizontal="center" vertical="center"/>
    </xf>
    <xf numFmtId="178" fontId="4" fillId="5" borderId="10" xfId="0" applyNumberFormat="1" applyFont="1" applyFill="1" applyBorder="1" applyAlignment="1">
      <alignment horizontal="center" vertical="center"/>
    </xf>
    <xf numFmtId="178" fontId="4" fillId="5" borderId="12" xfId="0" applyNumberFormat="1" applyFont="1" applyFill="1" applyBorder="1" applyAlignment="1">
      <alignment horizontal="center" vertical="center"/>
    </xf>
    <xf numFmtId="178" fontId="4" fillId="5" borderId="24" xfId="0" applyNumberFormat="1" applyFont="1" applyFill="1" applyBorder="1" applyAlignment="1">
      <alignment horizontal="center" vertical="center"/>
    </xf>
    <xf numFmtId="179" fontId="4" fillId="5" borderId="13" xfId="0" applyNumberFormat="1" applyFont="1" applyFill="1" applyBorder="1" applyAlignment="1">
      <alignment horizontal="center" vertical="center"/>
    </xf>
    <xf numFmtId="20" fontId="0" fillId="5" borderId="32" xfId="0" applyNumberFormat="1" applyFill="1" applyBorder="1" applyAlignment="1">
      <alignment horizontal="center" vertical="center"/>
    </xf>
    <xf numFmtId="20" fontId="0" fillId="5" borderId="25" xfId="0" applyNumberFormat="1" applyFill="1" applyBorder="1" applyAlignment="1">
      <alignment horizontal="center" vertical="center"/>
    </xf>
    <xf numFmtId="178" fontId="4" fillId="5" borderId="29" xfId="0" applyNumberFormat="1" applyFont="1" applyFill="1" applyBorder="1" applyAlignment="1">
      <alignment horizontal="center" vertical="center"/>
    </xf>
    <xf numFmtId="178" fontId="0" fillId="0" borderId="3" xfId="0" applyNumberFormat="1" applyBorder="1">
      <alignment vertical="center"/>
    </xf>
    <xf numFmtId="176" fontId="4" fillId="5" borderId="5" xfId="0" applyNumberFormat="1" applyFont="1" applyFill="1" applyBorder="1" applyAlignment="1">
      <alignment horizontal="center" vertical="center"/>
    </xf>
    <xf numFmtId="177" fontId="4" fillId="5" borderId="6" xfId="0" applyNumberFormat="1" applyFont="1" applyFill="1" applyBorder="1" applyAlignment="1">
      <alignment horizontal="center" vertical="center"/>
    </xf>
    <xf numFmtId="177" fontId="4" fillId="5" borderId="7" xfId="0" applyNumberFormat="1" applyFont="1" applyFill="1" applyBorder="1" applyAlignment="1">
      <alignment horizontal="center" vertical="center"/>
    </xf>
    <xf numFmtId="178" fontId="4" fillId="5" borderId="9" xfId="0" applyNumberFormat="1" applyFont="1" applyFill="1" applyBorder="1" applyAlignment="1">
      <alignment horizontal="center" vertical="center"/>
    </xf>
    <xf numFmtId="178" fontId="4" fillId="5" borderId="11" xfId="0" applyNumberFormat="1" applyFont="1" applyFill="1" applyBorder="1" applyAlignment="1">
      <alignment horizontal="center" vertical="center"/>
    </xf>
    <xf numFmtId="178" fontId="4" fillId="0" borderId="9" xfId="0" applyNumberFormat="1" applyFont="1" applyBorder="1" applyAlignment="1">
      <alignment horizontal="center" vertical="center"/>
    </xf>
    <xf numFmtId="178" fontId="4" fillId="0" borderId="11" xfId="0" applyNumberFormat="1" applyFont="1" applyBorder="1" applyAlignment="1">
      <alignment horizontal="center" vertical="center"/>
    </xf>
    <xf numFmtId="178" fontId="4" fillId="0" borderId="24" xfId="0" applyNumberFormat="1" applyFont="1" applyBorder="1" applyAlignment="1">
      <alignment horizontal="center" vertical="center"/>
    </xf>
    <xf numFmtId="179" fontId="4" fillId="0" borderId="13" xfId="0" applyNumberFormat="1" applyFont="1" applyBorder="1" applyAlignment="1">
      <alignment horizontal="center" vertical="center"/>
    </xf>
    <xf numFmtId="20" fontId="0" fillId="0" borderId="32" xfId="0" applyNumberFormat="1" applyBorder="1" applyAlignment="1">
      <alignment horizontal="center" vertical="center"/>
    </xf>
    <xf numFmtId="20" fontId="0" fillId="0" borderId="25" xfId="0" applyNumberFormat="1" applyBorder="1" applyAlignment="1">
      <alignment horizontal="center" vertical="center"/>
    </xf>
    <xf numFmtId="178" fontId="4" fillId="0" borderId="29" xfId="0" applyNumberFormat="1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/>
    </xf>
    <xf numFmtId="177" fontId="4" fillId="0" borderId="4" xfId="0" applyNumberFormat="1" applyFont="1" applyBorder="1" applyAlignment="1">
      <alignment horizontal="center" vertical="center"/>
    </xf>
    <xf numFmtId="20" fontId="0" fillId="0" borderId="26" xfId="0" applyNumberFormat="1" applyBorder="1" applyAlignment="1">
      <alignment horizontal="center" vertical="center"/>
    </xf>
    <xf numFmtId="0" fontId="0" fillId="0" borderId="27" xfId="0" applyBorder="1">
      <alignment vertical="center"/>
    </xf>
    <xf numFmtId="178" fontId="4" fillId="0" borderId="10" xfId="0" applyNumberFormat="1" applyFont="1" applyBorder="1" applyAlignment="1">
      <alignment horizontal="center" vertical="center"/>
    </xf>
    <xf numFmtId="178" fontId="4" fillId="0" borderId="12" xfId="0" applyNumberFormat="1" applyFont="1" applyBorder="1" applyAlignment="1">
      <alignment horizontal="center" vertical="center"/>
    </xf>
    <xf numFmtId="178" fontId="4" fillId="0" borderId="25" xfId="0" applyNumberFormat="1" applyFont="1" applyBorder="1" applyAlignment="1">
      <alignment horizontal="center" vertical="center"/>
    </xf>
    <xf numFmtId="176" fontId="4" fillId="0" borderId="18" xfId="0" applyNumberFormat="1" applyFont="1" applyBorder="1" applyAlignment="1">
      <alignment horizontal="center" vertical="center" wrapText="1"/>
    </xf>
    <xf numFmtId="177" fontId="4" fillId="0" borderId="19" xfId="0" applyNumberFormat="1" applyFont="1" applyBorder="1" applyAlignment="1">
      <alignment horizontal="center" vertical="center"/>
    </xf>
    <xf numFmtId="177" fontId="4" fillId="0" borderId="20" xfId="0" applyNumberFormat="1" applyFont="1" applyBorder="1" applyAlignment="1">
      <alignment horizontal="center" vertical="center"/>
    </xf>
    <xf numFmtId="20" fontId="0" fillId="0" borderId="33" xfId="0" applyNumberFormat="1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8" fontId="0" fillId="0" borderId="22" xfId="0" applyNumberFormat="1" applyBorder="1" applyAlignment="1">
      <alignment horizontal="center" vertical="center"/>
    </xf>
    <xf numFmtId="178" fontId="0" fillId="0" borderId="30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1" fillId="0" borderId="3" xfId="0" applyFont="1" applyBorder="1" applyAlignment="1">
      <alignment horizontal="left" vertical="center"/>
    </xf>
    <xf numFmtId="0" fontId="22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left" vertical="center"/>
    </xf>
    <xf numFmtId="20" fontId="0" fillId="0" borderId="3" xfId="0" applyNumberFormat="1" applyBorder="1" applyAlignment="1">
      <alignment horizontal="left" vertical="center"/>
    </xf>
  </cellXfs>
  <cellStyles count="1">
    <cellStyle name="標準" xfId="0" builtinId="0"/>
  </cellStyles>
  <dxfs count="14">
    <dxf>
      <font>
        <color rgb="FFC00000"/>
      </font>
      <fill>
        <patternFill>
          <bgColor theme="5" tint="0.59996337778862885"/>
        </patternFill>
      </fill>
    </dxf>
    <dxf>
      <font>
        <color rgb="FF0070C0"/>
      </font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59996337778862885"/>
        </patternFill>
      </fill>
    </dxf>
    <dxf>
      <font>
        <color rgb="FF0070C0"/>
      </font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59996337778862885"/>
        </patternFill>
      </fill>
    </dxf>
    <dxf>
      <font>
        <color rgb="FF0070C0"/>
      </font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59996337778862885"/>
        </patternFill>
      </fill>
    </dxf>
    <dxf>
      <font>
        <color rgb="FF0070C0"/>
      </font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59996337778862885"/>
        </patternFill>
      </fill>
    </dxf>
    <dxf>
      <font>
        <color rgb="FF0070C0"/>
      </font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59996337778862885"/>
        </patternFill>
      </fill>
    </dxf>
    <dxf>
      <font>
        <color rgb="FF0070C0"/>
      </font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59996337778862885"/>
        </patternFill>
      </fill>
    </dxf>
    <dxf>
      <font>
        <color rgb="FF0070C0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79513</xdr:colOff>
      <xdr:row>42</xdr:row>
      <xdr:rowOff>119269</xdr:rowOff>
    </xdr:from>
    <xdr:to>
      <xdr:col>13</xdr:col>
      <xdr:colOff>569843</xdr:colOff>
      <xdr:row>44</xdr:row>
      <xdr:rowOff>119270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DECCEE18-E566-497B-A0B6-09B2448BC2C2}"/>
            </a:ext>
          </a:extLst>
        </xdr:cNvPr>
        <xdr:cNvCxnSpPr/>
      </xdr:nvCxnSpPr>
      <xdr:spPr>
        <a:xfrm flipH="1">
          <a:off x="10739893" y="12136009"/>
          <a:ext cx="490330" cy="502921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46383</xdr:colOff>
      <xdr:row>40</xdr:row>
      <xdr:rowOff>165652</xdr:rowOff>
    </xdr:from>
    <xdr:to>
      <xdr:col>13</xdr:col>
      <xdr:colOff>583096</xdr:colOff>
      <xdr:row>42</xdr:row>
      <xdr:rowOff>112643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FC401A3E-665B-F2D5-0874-8B3AD737583E}"/>
            </a:ext>
          </a:extLst>
        </xdr:cNvPr>
        <xdr:cNvCxnSpPr/>
      </xdr:nvCxnSpPr>
      <xdr:spPr>
        <a:xfrm flipH="1" flipV="1">
          <a:off x="10714383" y="11794435"/>
          <a:ext cx="536713" cy="404191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79513</xdr:colOff>
      <xdr:row>42</xdr:row>
      <xdr:rowOff>119269</xdr:rowOff>
    </xdr:from>
    <xdr:to>
      <xdr:col>13</xdr:col>
      <xdr:colOff>569843</xdr:colOff>
      <xdr:row>44</xdr:row>
      <xdr:rowOff>119270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0D48999C-D420-4DFD-8179-39B48EE7659C}"/>
            </a:ext>
          </a:extLst>
        </xdr:cNvPr>
        <xdr:cNvCxnSpPr/>
      </xdr:nvCxnSpPr>
      <xdr:spPr>
        <a:xfrm flipH="1">
          <a:off x="10739893" y="12136009"/>
          <a:ext cx="490330" cy="502921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19878</xdr:colOff>
      <xdr:row>40</xdr:row>
      <xdr:rowOff>192156</xdr:rowOff>
    </xdr:from>
    <xdr:to>
      <xdr:col>13</xdr:col>
      <xdr:colOff>596348</xdr:colOff>
      <xdr:row>42</xdr:row>
      <xdr:rowOff>112643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C9BACE49-9934-F85B-17D1-3B0C235F023D}"/>
            </a:ext>
          </a:extLst>
        </xdr:cNvPr>
        <xdr:cNvCxnSpPr/>
      </xdr:nvCxnSpPr>
      <xdr:spPr>
        <a:xfrm flipH="1" flipV="1">
          <a:off x="10687878" y="11814313"/>
          <a:ext cx="576470" cy="377687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1C019-261C-4527-8C14-E21E5750D1A3}">
  <sheetPr>
    <pageSetUpPr fitToPage="1"/>
  </sheetPr>
  <dimension ref="B2:M50"/>
  <sheetViews>
    <sheetView showGridLines="0" topLeftCell="A10" zoomScale="115" zoomScaleNormal="115" workbookViewId="0">
      <selection activeCell="J16" sqref="J16"/>
    </sheetView>
  </sheetViews>
  <sheetFormatPr defaultColWidth="8.6640625" defaultRowHeight="13.2"/>
  <cols>
    <col min="1" max="1" width="2.6640625" customWidth="1"/>
    <col min="2" max="3" width="6.109375" customWidth="1"/>
    <col min="4" max="4" width="5.6640625" style="5" customWidth="1"/>
    <col min="5" max="6" width="17.6640625" customWidth="1"/>
    <col min="7" max="8" width="17.6640625" style="5" customWidth="1"/>
    <col min="9" max="10" width="17.6640625" customWidth="1"/>
    <col min="11" max="11" width="9.44140625" customWidth="1"/>
    <col min="12" max="12" width="9.44140625" style="5" customWidth="1"/>
    <col min="13" max="13" width="9.44140625" customWidth="1"/>
  </cols>
  <sheetData>
    <row r="2" spans="2:13" ht="28.5" customHeight="1">
      <c r="E2" t="s">
        <v>0</v>
      </c>
    </row>
    <row r="3" spans="2:13" ht="24" customHeight="1">
      <c r="E3" t="s">
        <v>1</v>
      </c>
    </row>
    <row r="4" spans="2:13" ht="24" customHeight="1">
      <c r="E4" t="s">
        <v>2</v>
      </c>
    </row>
    <row r="5" spans="2:13" ht="24" customHeight="1">
      <c r="E5" t="s">
        <v>3</v>
      </c>
    </row>
    <row r="6" spans="2:13" ht="31.95" customHeight="1">
      <c r="B6" s="34"/>
    </row>
    <row r="7" spans="2:13" ht="31.95" customHeight="1">
      <c r="B7" s="33"/>
    </row>
    <row r="8" spans="2:13" s="18" customFormat="1" ht="30.75" customHeight="1" thickBot="1">
      <c r="B8" s="85">
        <v>2026</v>
      </c>
      <c r="C8" s="85"/>
      <c r="D8" s="19" t="s">
        <v>4</v>
      </c>
      <c r="E8" s="19">
        <v>2</v>
      </c>
      <c r="F8" s="19" t="s">
        <v>5</v>
      </c>
      <c r="G8" s="42"/>
      <c r="H8" s="20"/>
      <c r="I8" s="21">
        <f>DATE(B8,E8,1)</f>
        <v>46054</v>
      </c>
      <c r="L8" s="20"/>
    </row>
    <row r="9" spans="2:13" s="1" customFormat="1" ht="23.1" customHeight="1" thickBot="1">
      <c r="B9" s="11"/>
      <c r="C9" s="11"/>
      <c r="D9" s="11"/>
      <c r="E9" s="11"/>
      <c r="F9" s="11"/>
      <c r="G9" s="7"/>
      <c r="H9" s="6"/>
      <c r="I9" s="27" t="s">
        <v>6</v>
      </c>
      <c r="J9" s="28"/>
      <c r="K9" s="23"/>
      <c r="L9" s="24"/>
    </row>
    <row r="10" spans="2:13" s="1" customFormat="1" ht="10.5" customHeight="1">
      <c r="B10" s="11"/>
      <c r="C10" s="11"/>
      <c r="D10" s="11"/>
      <c r="E10" s="11"/>
      <c r="F10" s="11"/>
      <c r="G10" s="7"/>
      <c r="H10" s="6"/>
      <c r="I10" s="22"/>
      <c r="J10" s="23"/>
      <c r="K10" s="23"/>
      <c r="L10" s="24"/>
    </row>
    <row r="11" spans="2:13" s="1" customFormat="1" ht="20.100000000000001" customHeight="1" thickBot="1">
      <c r="B11" s="2"/>
      <c r="C11" s="2"/>
      <c r="D11" s="4"/>
      <c r="E11" s="2"/>
      <c r="F11" s="2"/>
      <c r="G11" s="12" t="s">
        <v>7</v>
      </c>
      <c r="H11" s="13" t="s">
        <v>8</v>
      </c>
      <c r="I11" s="13" t="s">
        <v>9</v>
      </c>
      <c r="J11" s="8" t="s">
        <v>10</v>
      </c>
      <c r="K11" s="13"/>
      <c r="L11" s="8"/>
    </row>
    <row r="12" spans="2:13" s="10" customFormat="1" ht="20.100000000000001" customHeight="1" thickBot="1">
      <c r="C12" s="45"/>
      <c r="D12" s="10" t="s">
        <v>11</v>
      </c>
      <c r="E12" s="8"/>
      <c r="G12" s="14">
        <v>0.33333333333333331</v>
      </c>
      <c r="H12" s="14">
        <v>0.75</v>
      </c>
      <c r="I12" s="14">
        <v>8.3333333333333329E-2</v>
      </c>
      <c r="J12" s="14">
        <v>0.33333333333333331</v>
      </c>
      <c r="K12" s="26"/>
      <c r="L12" s="26"/>
      <c r="M12" s="9"/>
    </row>
    <row r="13" spans="2:13" ht="13.8" thickBot="1">
      <c r="B13" s="2"/>
      <c r="C13" s="2"/>
      <c r="D13" s="4"/>
      <c r="E13" s="2"/>
      <c r="F13" s="2"/>
      <c r="G13" s="4"/>
      <c r="H13" s="4"/>
      <c r="I13" s="2"/>
    </row>
    <row r="14" spans="2:13" ht="22.95" customHeight="1">
      <c r="B14" s="86" t="s">
        <v>12</v>
      </c>
      <c r="C14" s="87"/>
      <c r="D14" s="3" t="s">
        <v>13</v>
      </c>
      <c r="E14" s="38" t="s">
        <v>14</v>
      </c>
      <c r="F14" s="39" t="s">
        <v>15</v>
      </c>
      <c r="G14" s="40" t="s">
        <v>16</v>
      </c>
      <c r="H14" s="40" t="s">
        <v>17</v>
      </c>
      <c r="I14" s="39" t="s">
        <v>18</v>
      </c>
      <c r="J14" s="41" t="s">
        <v>19</v>
      </c>
      <c r="K14" s="25" t="s">
        <v>20</v>
      </c>
      <c r="L14" s="31" t="s">
        <v>21</v>
      </c>
      <c r="M14" s="32" t="s">
        <v>22</v>
      </c>
    </row>
    <row r="15" spans="2:13" ht="22.95" customHeight="1">
      <c r="B15" s="57">
        <f>DATE($B$8, $E$8, 1)</f>
        <v>46054</v>
      </c>
      <c r="C15" s="58">
        <f>B15</f>
        <v>46054</v>
      </c>
      <c r="D15" s="59"/>
      <c r="E15" s="60" t="s">
        <v>50</v>
      </c>
      <c r="F15" s="61" t="s">
        <v>23</v>
      </c>
      <c r="G15" s="51" t="s">
        <v>23</v>
      </c>
      <c r="H15" s="61" t="s">
        <v>23</v>
      </c>
      <c r="I15" s="52" t="s">
        <v>23</v>
      </c>
      <c r="J15" s="53" t="s">
        <v>23</v>
      </c>
      <c r="K15" s="54" t="e">
        <f t="shared" ref="K15:K45" si="0">F15-E15+J15-I15</f>
        <v>#VALUE!</v>
      </c>
      <c r="L15" s="55" t="e">
        <f t="shared" ref="L15:L45" si="1">IF(OR(H15=":",H15=":"),":",H15-G15-TIMEVALUE("2:00"))</f>
        <v>#VALUE!</v>
      </c>
      <c r="M15" s="53" t="e">
        <f t="shared" ref="M15:M45" si="2">IF(K15+L15-"8:00"&lt;0,0,K15+L15-"8:00")</f>
        <v>#VALUE!</v>
      </c>
    </row>
    <row r="16" spans="2:13" ht="22.95" customHeight="1">
      <c r="B16" s="69">
        <f>IF(MONTH($B$15)=MONTH($B$15+ROW()-ROW($B$15)),$B$15+ROW()-ROW($B$15),"")</f>
        <v>46055</v>
      </c>
      <c r="C16" s="70">
        <f t="shared" ref="C16:C45" si="3">B16</f>
        <v>46055</v>
      </c>
      <c r="D16" s="71"/>
      <c r="E16" s="62" t="s">
        <v>23</v>
      </c>
      <c r="F16" s="63" t="s">
        <v>23</v>
      </c>
      <c r="G16" s="64" t="s">
        <v>23</v>
      </c>
      <c r="H16" s="63" t="s">
        <v>23</v>
      </c>
      <c r="I16" s="72" t="s">
        <v>23</v>
      </c>
      <c r="J16" s="84" t="s">
        <v>23</v>
      </c>
      <c r="K16" s="67" t="e">
        <f t="shared" si="0"/>
        <v>#VALUE!</v>
      </c>
      <c r="L16" s="68" t="e">
        <f t="shared" si="1"/>
        <v>#VALUE!</v>
      </c>
      <c r="M16" s="66" t="e">
        <f t="shared" si="2"/>
        <v>#VALUE!</v>
      </c>
    </row>
    <row r="17" spans="2:13" ht="22.95" customHeight="1">
      <c r="B17" s="69">
        <f t="shared" ref="B17:B44" si="4">IF(MONTH($B$15)=MONTH($B$15+ROW()-ROW($B$15)),$B$15+ROW()-ROW($B$15),"")</f>
        <v>46056</v>
      </c>
      <c r="C17" s="70">
        <f t="shared" si="3"/>
        <v>46056</v>
      </c>
      <c r="D17" s="71"/>
      <c r="E17" s="74" t="s">
        <v>23</v>
      </c>
      <c r="F17" s="75" t="s">
        <v>23</v>
      </c>
      <c r="G17" s="64" t="s">
        <v>23</v>
      </c>
      <c r="H17" s="75" t="s">
        <v>23</v>
      </c>
      <c r="I17" s="65" t="s">
        <v>23</v>
      </c>
      <c r="J17" s="66" t="s">
        <v>23</v>
      </c>
      <c r="K17" s="67" t="e">
        <f t="shared" si="0"/>
        <v>#VALUE!</v>
      </c>
      <c r="L17" s="68" t="e">
        <f t="shared" si="1"/>
        <v>#VALUE!</v>
      </c>
      <c r="M17" s="66" t="e">
        <f t="shared" si="2"/>
        <v>#VALUE!</v>
      </c>
    </row>
    <row r="18" spans="2:13" ht="22.95" customHeight="1">
      <c r="B18" s="69">
        <f t="shared" si="4"/>
        <v>46057</v>
      </c>
      <c r="C18" s="70">
        <f t="shared" si="3"/>
        <v>46057</v>
      </c>
      <c r="D18" s="71"/>
      <c r="E18" s="74" t="s">
        <v>23</v>
      </c>
      <c r="F18" s="75" t="s">
        <v>23</v>
      </c>
      <c r="G18" s="64" t="s">
        <v>23</v>
      </c>
      <c r="H18" s="75" t="s">
        <v>23</v>
      </c>
      <c r="I18" s="65" t="s">
        <v>23</v>
      </c>
      <c r="J18" s="66" t="s">
        <v>23</v>
      </c>
      <c r="K18" s="67" t="e">
        <f t="shared" si="0"/>
        <v>#VALUE!</v>
      </c>
      <c r="L18" s="68" t="e">
        <f t="shared" si="1"/>
        <v>#VALUE!</v>
      </c>
      <c r="M18" s="66" t="e">
        <f t="shared" si="2"/>
        <v>#VALUE!</v>
      </c>
    </row>
    <row r="19" spans="2:13" ht="22.95" customHeight="1">
      <c r="B19" s="69">
        <f t="shared" si="4"/>
        <v>46058</v>
      </c>
      <c r="C19" s="70">
        <f t="shared" si="3"/>
        <v>46058</v>
      </c>
      <c r="D19" s="71"/>
      <c r="E19" s="74" t="s">
        <v>23</v>
      </c>
      <c r="F19" s="75" t="s">
        <v>23</v>
      </c>
      <c r="G19" s="64" t="s">
        <v>23</v>
      </c>
      <c r="H19" s="75" t="s">
        <v>23</v>
      </c>
      <c r="I19" s="65" t="s">
        <v>23</v>
      </c>
      <c r="J19" s="66" t="s">
        <v>23</v>
      </c>
      <c r="K19" s="67" t="e">
        <f t="shared" si="0"/>
        <v>#VALUE!</v>
      </c>
      <c r="L19" s="68" t="e">
        <f t="shared" si="1"/>
        <v>#VALUE!</v>
      </c>
      <c r="M19" s="66" t="e">
        <f t="shared" si="2"/>
        <v>#VALUE!</v>
      </c>
    </row>
    <row r="20" spans="2:13" ht="22.95" customHeight="1">
      <c r="B20" s="69">
        <f t="shared" si="4"/>
        <v>46059</v>
      </c>
      <c r="C20" s="70">
        <f t="shared" si="3"/>
        <v>46059</v>
      </c>
      <c r="D20" s="71"/>
      <c r="E20" s="74" t="s">
        <v>23</v>
      </c>
      <c r="F20" s="75" t="s">
        <v>23</v>
      </c>
      <c r="G20" s="64" t="s">
        <v>23</v>
      </c>
      <c r="H20" s="75" t="s">
        <v>23</v>
      </c>
      <c r="I20" s="65" t="s">
        <v>23</v>
      </c>
      <c r="J20" s="66" t="s">
        <v>23</v>
      </c>
      <c r="K20" s="67" t="e">
        <f t="shared" si="0"/>
        <v>#VALUE!</v>
      </c>
      <c r="L20" s="68" t="e">
        <f t="shared" si="1"/>
        <v>#VALUE!</v>
      </c>
      <c r="M20" s="66" t="e">
        <f t="shared" si="2"/>
        <v>#VALUE!</v>
      </c>
    </row>
    <row r="21" spans="2:13" ht="22.95" customHeight="1">
      <c r="B21" s="46">
        <f t="shared" si="4"/>
        <v>46060</v>
      </c>
      <c r="C21" s="47">
        <f t="shared" si="3"/>
        <v>46060</v>
      </c>
      <c r="D21" s="48"/>
      <c r="E21" s="49" t="s">
        <v>23</v>
      </c>
      <c r="F21" s="50" t="s">
        <v>23</v>
      </c>
      <c r="G21" s="51" t="s">
        <v>23</v>
      </c>
      <c r="H21" s="50" t="s">
        <v>23</v>
      </c>
      <c r="I21" s="52" t="s">
        <v>23</v>
      </c>
      <c r="J21" s="53" t="s">
        <v>23</v>
      </c>
      <c r="K21" s="54" t="e">
        <f t="shared" si="0"/>
        <v>#VALUE!</v>
      </c>
      <c r="L21" s="55" t="e">
        <f t="shared" si="1"/>
        <v>#VALUE!</v>
      </c>
      <c r="M21" s="53" t="e">
        <f t="shared" si="2"/>
        <v>#VALUE!</v>
      </c>
    </row>
    <row r="22" spans="2:13" ht="22.95" customHeight="1">
      <c r="B22" s="46">
        <f t="shared" si="4"/>
        <v>46061</v>
      </c>
      <c r="C22" s="47">
        <f t="shared" si="3"/>
        <v>46061</v>
      </c>
      <c r="D22" s="48"/>
      <c r="E22" s="49" t="s">
        <v>23</v>
      </c>
      <c r="F22" s="50" t="s">
        <v>23</v>
      </c>
      <c r="G22" s="51" t="s">
        <v>23</v>
      </c>
      <c r="H22" s="50" t="s">
        <v>23</v>
      </c>
      <c r="I22" s="52" t="s">
        <v>23</v>
      </c>
      <c r="J22" s="53" t="s">
        <v>23</v>
      </c>
      <c r="K22" s="54" t="e">
        <f t="shared" si="0"/>
        <v>#VALUE!</v>
      </c>
      <c r="L22" s="55" t="e">
        <f t="shared" si="1"/>
        <v>#VALUE!</v>
      </c>
      <c r="M22" s="53" t="e">
        <f t="shared" si="2"/>
        <v>#VALUE!</v>
      </c>
    </row>
    <row r="23" spans="2:13" ht="22.95" customHeight="1">
      <c r="B23" s="69">
        <f t="shared" si="4"/>
        <v>46062</v>
      </c>
      <c r="C23" s="70">
        <f t="shared" si="3"/>
        <v>46062</v>
      </c>
      <c r="D23" s="71"/>
      <c r="E23" s="74" t="s">
        <v>23</v>
      </c>
      <c r="F23" s="75" t="s">
        <v>23</v>
      </c>
      <c r="G23" s="76" t="s">
        <v>23</v>
      </c>
      <c r="H23" s="75" t="s">
        <v>23</v>
      </c>
      <c r="I23" s="65" t="s">
        <v>23</v>
      </c>
      <c r="J23" s="66" t="s">
        <v>23</v>
      </c>
      <c r="K23" s="67" t="e">
        <f t="shared" si="0"/>
        <v>#VALUE!</v>
      </c>
      <c r="L23" s="68" t="e">
        <f t="shared" si="1"/>
        <v>#VALUE!</v>
      </c>
      <c r="M23" s="66" t="e">
        <f t="shared" si="2"/>
        <v>#VALUE!</v>
      </c>
    </row>
    <row r="24" spans="2:13" ht="22.95" customHeight="1">
      <c r="B24" s="69">
        <f t="shared" si="4"/>
        <v>46063</v>
      </c>
      <c r="C24" s="70">
        <f t="shared" si="3"/>
        <v>46063</v>
      </c>
      <c r="D24" s="71"/>
      <c r="E24" s="74" t="s">
        <v>23</v>
      </c>
      <c r="F24" s="75" t="s">
        <v>23</v>
      </c>
      <c r="G24" s="64" t="s">
        <v>23</v>
      </c>
      <c r="H24" s="75" t="s">
        <v>23</v>
      </c>
      <c r="I24" s="65" t="s">
        <v>23</v>
      </c>
      <c r="J24" s="66" t="s">
        <v>23</v>
      </c>
      <c r="K24" s="67" t="e">
        <f t="shared" si="0"/>
        <v>#VALUE!</v>
      </c>
      <c r="L24" s="68" t="e">
        <f t="shared" si="1"/>
        <v>#VALUE!</v>
      </c>
      <c r="M24" s="66" t="e">
        <f t="shared" si="2"/>
        <v>#VALUE!</v>
      </c>
    </row>
    <row r="25" spans="2:13" ht="22.95" customHeight="1">
      <c r="B25" s="69">
        <f t="shared" si="4"/>
        <v>46064</v>
      </c>
      <c r="C25" s="70">
        <f t="shared" si="3"/>
        <v>46064</v>
      </c>
      <c r="D25" s="71"/>
      <c r="E25" s="74" t="s">
        <v>23</v>
      </c>
      <c r="F25" s="75" t="s">
        <v>23</v>
      </c>
      <c r="G25" s="64" t="s">
        <v>23</v>
      </c>
      <c r="H25" s="75" t="s">
        <v>23</v>
      </c>
      <c r="I25" s="65" t="s">
        <v>23</v>
      </c>
      <c r="J25" s="66" t="s">
        <v>23</v>
      </c>
      <c r="K25" s="67" t="e">
        <f t="shared" si="0"/>
        <v>#VALUE!</v>
      </c>
      <c r="L25" s="68" t="e">
        <f t="shared" si="1"/>
        <v>#VALUE!</v>
      </c>
      <c r="M25" s="66" t="e">
        <f t="shared" si="2"/>
        <v>#VALUE!</v>
      </c>
    </row>
    <row r="26" spans="2:13" ht="22.95" customHeight="1">
      <c r="B26" s="69">
        <f t="shared" si="4"/>
        <v>46065</v>
      </c>
      <c r="C26" s="70">
        <f t="shared" si="3"/>
        <v>46065</v>
      </c>
      <c r="D26" s="71"/>
      <c r="E26" s="74" t="s">
        <v>23</v>
      </c>
      <c r="F26" s="75" t="s">
        <v>23</v>
      </c>
      <c r="G26" s="64" t="s">
        <v>23</v>
      </c>
      <c r="H26" s="75" t="s">
        <v>23</v>
      </c>
      <c r="I26" s="65" t="s">
        <v>23</v>
      </c>
      <c r="J26" s="66" t="s">
        <v>23</v>
      </c>
      <c r="K26" s="67" t="e">
        <f t="shared" si="0"/>
        <v>#VALUE!</v>
      </c>
      <c r="L26" s="68" t="e">
        <f t="shared" si="1"/>
        <v>#VALUE!</v>
      </c>
      <c r="M26" s="66" t="e">
        <f t="shared" si="2"/>
        <v>#VALUE!</v>
      </c>
    </row>
    <row r="27" spans="2:13" ht="22.95" customHeight="1">
      <c r="B27" s="69">
        <f t="shared" si="4"/>
        <v>46066</v>
      </c>
      <c r="C27" s="70">
        <f t="shared" si="3"/>
        <v>46066</v>
      </c>
      <c r="D27" s="71"/>
      <c r="E27" s="74" t="s">
        <v>23</v>
      </c>
      <c r="F27" s="75" t="s">
        <v>23</v>
      </c>
      <c r="G27" s="64" t="s">
        <v>23</v>
      </c>
      <c r="H27" s="75" t="s">
        <v>23</v>
      </c>
      <c r="I27" s="65" t="s">
        <v>23</v>
      </c>
      <c r="J27" s="66" t="s">
        <v>23</v>
      </c>
      <c r="K27" s="67" t="e">
        <f t="shared" si="0"/>
        <v>#VALUE!</v>
      </c>
      <c r="L27" s="68" t="e">
        <f t="shared" si="1"/>
        <v>#VALUE!</v>
      </c>
      <c r="M27" s="66" t="e">
        <f t="shared" si="2"/>
        <v>#VALUE!</v>
      </c>
    </row>
    <row r="28" spans="2:13" ht="22.95" customHeight="1">
      <c r="B28" s="46">
        <f t="shared" si="4"/>
        <v>46067</v>
      </c>
      <c r="C28" s="47">
        <f t="shared" si="3"/>
        <v>46067</v>
      </c>
      <c r="D28" s="48"/>
      <c r="E28" s="49" t="s">
        <v>23</v>
      </c>
      <c r="F28" s="50" t="s">
        <v>23</v>
      </c>
      <c r="G28" s="51" t="s">
        <v>23</v>
      </c>
      <c r="H28" s="50" t="s">
        <v>23</v>
      </c>
      <c r="I28" s="52" t="s">
        <v>23</v>
      </c>
      <c r="J28" s="53" t="s">
        <v>23</v>
      </c>
      <c r="K28" s="54" t="e">
        <f t="shared" si="0"/>
        <v>#VALUE!</v>
      </c>
      <c r="L28" s="55" t="e">
        <f t="shared" si="1"/>
        <v>#VALUE!</v>
      </c>
      <c r="M28" s="53" t="e">
        <f t="shared" si="2"/>
        <v>#VALUE!</v>
      </c>
    </row>
    <row r="29" spans="2:13" ht="22.95" customHeight="1">
      <c r="B29" s="46">
        <f t="shared" si="4"/>
        <v>46068</v>
      </c>
      <c r="C29" s="47">
        <f t="shared" si="3"/>
        <v>46068</v>
      </c>
      <c r="D29" s="48"/>
      <c r="E29" s="49" t="s">
        <v>23</v>
      </c>
      <c r="F29" s="50" t="s">
        <v>23</v>
      </c>
      <c r="G29" s="51" t="s">
        <v>23</v>
      </c>
      <c r="H29" s="50" t="s">
        <v>23</v>
      </c>
      <c r="I29" s="52" t="s">
        <v>23</v>
      </c>
      <c r="J29" s="53" t="s">
        <v>23</v>
      </c>
      <c r="K29" s="54" t="e">
        <f t="shared" si="0"/>
        <v>#VALUE!</v>
      </c>
      <c r="L29" s="55" t="e">
        <f t="shared" si="1"/>
        <v>#VALUE!</v>
      </c>
      <c r="M29" s="53" t="e">
        <f t="shared" si="2"/>
        <v>#VALUE!</v>
      </c>
    </row>
    <row r="30" spans="2:13" ht="22.95" customHeight="1">
      <c r="B30" s="69">
        <f t="shared" si="4"/>
        <v>46069</v>
      </c>
      <c r="C30" s="70">
        <f t="shared" si="3"/>
        <v>46069</v>
      </c>
      <c r="D30" s="71"/>
      <c r="E30" s="74" t="s">
        <v>23</v>
      </c>
      <c r="F30" s="75" t="s">
        <v>23</v>
      </c>
      <c r="G30" s="64" t="s">
        <v>23</v>
      </c>
      <c r="H30" s="75" t="s">
        <v>23</v>
      </c>
      <c r="I30" s="65" t="s">
        <v>23</v>
      </c>
      <c r="J30" s="66" t="s">
        <v>23</v>
      </c>
      <c r="K30" s="67" t="e">
        <f t="shared" si="0"/>
        <v>#VALUE!</v>
      </c>
      <c r="L30" s="68" t="e">
        <f t="shared" si="1"/>
        <v>#VALUE!</v>
      </c>
      <c r="M30" s="66" t="e">
        <f t="shared" si="2"/>
        <v>#VALUE!</v>
      </c>
    </row>
    <row r="31" spans="2:13" ht="22.95" customHeight="1">
      <c r="B31" s="69">
        <f t="shared" si="4"/>
        <v>46070</v>
      </c>
      <c r="C31" s="70">
        <f t="shared" si="3"/>
        <v>46070</v>
      </c>
      <c r="D31" s="71"/>
      <c r="E31" s="74" t="s">
        <v>23</v>
      </c>
      <c r="F31" s="75" t="s">
        <v>23</v>
      </c>
      <c r="G31" s="64" t="s">
        <v>23</v>
      </c>
      <c r="H31" s="75" t="s">
        <v>23</v>
      </c>
      <c r="I31" s="65" t="s">
        <v>23</v>
      </c>
      <c r="J31" s="66" t="s">
        <v>23</v>
      </c>
      <c r="K31" s="67" t="e">
        <f t="shared" si="0"/>
        <v>#VALUE!</v>
      </c>
      <c r="L31" s="68" t="e">
        <f t="shared" si="1"/>
        <v>#VALUE!</v>
      </c>
      <c r="M31" s="66" t="e">
        <f t="shared" si="2"/>
        <v>#VALUE!</v>
      </c>
    </row>
    <row r="32" spans="2:13" ht="22.95" customHeight="1">
      <c r="B32" s="69">
        <f t="shared" si="4"/>
        <v>46071</v>
      </c>
      <c r="C32" s="70">
        <f t="shared" si="3"/>
        <v>46071</v>
      </c>
      <c r="D32" s="71"/>
      <c r="E32" s="74" t="s">
        <v>23</v>
      </c>
      <c r="F32" s="75" t="s">
        <v>23</v>
      </c>
      <c r="G32" s="64" t="s">
        <v>23</v>
      </c>
      <c r="H32" s="75" t="s">
        <v>23</v>
      </c>
      <c r="I32" s="65" t="s">
        <v>23</v>
      </c>
      <c r="J32" s="66" t="s">
        <v>23</v>
      </c>
      <c r="K32" s="67" t="e">
        <f t="shared" si="0"/>
        <v>#VALUE!</v>
      </c>
      <c r="L32" s="68" t="e">
        <f t="shared" si="1"/>
        <v>#VALUE!</v>
      </c>
      <c r="M32" s="66" t="e">
        <f t="shared" si="2"/>
        <v>#VALUE!</v>
      </c>
    </row>
    <row r="33" spans="2:13" ht="22.95" customHeight="1">
      <c r="B33" s="69">
        <f t="shared" si="4"/>
        <v>46072</v>
      </c>
      <c r="C33" s="70">
        <f t="shared" si="3"/>
        <v>46072</v>
      </c>
      <c r="D33" s="71"/>
      <c r="E33" s="74" t="s">
        <v>23</v>
      </c>
      <c r="F33" s="75" t="s">
        <v>23</v>
      </c>
      <c r="G33" s="64" t="s">
        <v>23</v>
      </c>
      <c r="H33" s="75" t="s">
        <v>23</v>
      </c>
      <c r="I33" s="65" t="s">
        <v>23</v>
      </c>
      <c r="J33" s="66" t="s">
        <v>23</v>
      </c>
      <c r="K33" s="67" t="e">
        <f t="shared" si="0"/>
        <v>#VALUE!</v>
      </c>
      <c r="L33" s="68" t="e">
        <f t="shared" si="1"/>
        <v>#VALUE!</v>
      </c>
      <c r="M33" s="66" t="e">
        <f t="shared" si="2"/>
        <v>#VALUE!</v>
      </c>
    </row>
    <row r="34" spans="2:13" ht="22.95" customHeight="1">
      <c r="B34" s="69">
        <f t="shared" si="4"/>
        <v>46073</v>
      </c>
      <c r="C34" s="70">
        <f t="shared" si="3"/>
        <v>46073</v>
      </c>
      <c r="D34" s="71"/>
      <c r="E34" s="74" t="s">
        <v>23</v>
      </c>
      <c r="F34" s="75" t="s">
        <v>23</v>
      </c>
      <c r="G34" s="64" t="s">
        <v>23</v>
      </c>
      <c r="H34" s="75" t="s">
        <v>23</v>
      </c>
      <c r="I34" s="65" t="s">
        <v>23</v>
      </c>
      <c r="J34" s="66" t="s">
        <v>23</v>
      </c>
      <c r="K34" s="67" t="e">
        <f t="shared" si="0"/>
        <v>#VALUE!</v>
      </c>
      <c r="L34" s="68" t="e">
        <f t="shared" si="1"/>
        <v>#VALUE!</v>
      </c>
      <c r="M34" s="66" t="e">
        <f t="shared" si="2"/>
        <v>#VALUE!</v>
      </c>
    </row>
    <row r="35" spans="2:13" ht="22.95" customHeight="1">
      <c r="B35" s="69">
        <f t="shared" si="4"/>
        <v>46074</v>
      </c>
      <c r="C35" s="70">
        <f t="shared" si="3"/>
        <v>46074</v>
      </c>
      <c r="D35" s="71"/>
      <c r="E35" s="74" t="s">
        <v>23</v>
      </c>
      <c r="F35" s="75" t="s">
        <v>23</v>
      </c>
      <c r="G35" s="64" t="s">
        <v>23</v>
      </c>
      <c r="H35" s="75" t="s">
        <v>23</v>
      </c>
      <c r="I35" s="65" t="s">
        <v>23</v>
      </c>
      <c r="J35" s="66" t="s">
        <v>23</v>
      </c>
      <c r="K35" s="67" t="e">
        <f t="shared" si="0"/>
        <v>#VALUE!</v>
      </c>
      <c r="L35" s="68" t="e">
        <f t="shared" si="1"/>
        <v>#VALUE!</v>
      </c>
      <c r="M35" s="66" t="e">
        <f t="shared" si="2"/>
        <v>#VALUE!</v>
      </c>
    </row>
    <row r="36" spans="2:13" ht="22.95" customHeight="1">
      <c r="B36" s="46">
        <f t="shared" si="4"/>
        <v>46075</v>
      </c>
      <c r="C36" s="47">
        <f t="shared" si="3"/>
        <v>46075</v>
      </c>
      <c r="D36" s="48"/>
      <c r="E36" s="49" t="s">
        <v>23</v>
      </c>
      <c r="F36" s="50" t="s">
        <v>23</v>
      </c>
      <c r="G36" s="51" t="s">
        <v>23</v>
      </c>
      <c r="H36" s="50" t="s">
        <v>23</v>
      </c>
      <c r="I36" s="52" t="s">
        <v>23</v>
      </c>
      <c r="J36" s="53" t="s">
        <v>23</v>
      </c>
      <c r="K36" s="54" t="e">
        <f t="shared" si="0"/>
        <v>#VALUE!</v>
      </c>
      <c r="L36" s="55" t="e">
        <f t="shared" si="1"/>
        <v>#VALUE!</v>
      </c>
      <c r="M36" s="53" t="e">
        <f t="shared" si="2"/>
        <v>#VALUE!</v>
      </c>
    </row>
    <row r="37" spans="2:13" ht="22.95" customHeight="1">
      <c r="B37" s="69">
        <f t="shared" si="4"/>
        <v>46076</v>
      </c>
      <c r="C37" s="70">
        <f t="shared" si="3"/>
        <v>46076</v>
      </c>
      <c r="D37" s="71"/>
      <c r="E37" s="74" t="s">
        <v>23</v>
      </c>
      <c r="F37" s="75" t="s">
        <v>23</v>
      </c>
      <c r="G37" s="64" t="s">
        <v>23</v>
      </c>
      <c r="H37" s="75" t="s">
        <v>23</v>
      </c>
      <c r="I37" s="65" t="s">
        <v>23</v>
      </c>
      <c r="J37" s="66" t="s">
        <v>23</v>
      </c>
      <c r="K37" s="67" t="e">
        <f t="shared" si="0"/>
        <v>#VALUE!</v>
      </c>
      <c r="L37" s="68" t="e">
        <f t="shared" si="1"/>
        <v>#VALUE!</v>
      </c>
      <c r="M37" s="66" t="e">
        <f t="shared" si="2"/>
        <v>#VALUE!</v>
      </c>
    </row>
    <row r="38" spans="2:13" ht="22.95" customHeight="1">
      <c r="B38" s="69">
        <f t="shared" si="4"/>
        <v>46077</v>
      </c>
      <c r="C38" s="70">
        <f t="shared" si="3"/>
        <v>46077</v>
      </c>
      <c r="D38" s="71"/>
      <c r="E38" s="74" t="s">
        <v>23</v>
      </c>
      <c r="F38" s="75" t="s">
        <v>23</v>
      </c>
      <c r="G38" s="64" t="s">
        <v>23</v>
      </c>
      <c r="H38" s="75" t="s">
        <v>23</v>
      </c>
      <c r="I38" s="65" t="s">
        <v>23</v>
      </c>
      <c r="J38" s="66" t="s">
        <v>23</v>
      </c>
      <c r="K38" s="67" t="e">
        <f t="shared" si="0"/>
        <v>#VALUE!</v>
      </c>
      <c r="L38" s="68" t="e">
        <f t="shared" si="1"/>
        <v>#VALUE!</v>
      </c>
      <c r="M38" s="66" t="e">
        <f t="shared" si="2"/>
        <v>#VALUE!</v>
      </c>
    </row>
    <row r="39" spans="2:13" ht="22.95" customHeight="1">
      <c r="B39" s="69">
        <f t="shared" si="4"/>
        <v>46078</v>
      </c>
      <c r="C39" s="70">
        <f t="shared" si="3"/>
        <v>46078</v>
      </c>
      <c r="D39" s="71"/>
      <c r="E39" s="74" t="s">
        <v>23</v>
      </c>
      <c r="F39" s="75" t="s">
        <v>23</v>
      </c>
      <c r="G39" s="64" t="s">
        <v>23</v>
      </c>
      <c r="H39" s="75" t="s">
        <v>23</v>
      </c>
      <c r="I39" s="65" t="s">
        <v>23</v>
      </c>
      <c r="J39" s="66" t="s">
        <v>23</v>
      </c>
      <c r="K39" s="67" t="e">
        <f t="shared" si="0"/>
        <v>#VALUE!</v>
      </c>
      <c r="L39" s="68" t="e">
        <f t="shared" si="1"/>
        <v>#VALUE!</v>
      </c>
      <c r="M39" s="66" t="e">
        <f t="shared" si="2"/>
        <v>#VALUE!</v>
      </c>
    </row>
    <row r="40" spans="2:13" ht="22.95" customHeight="1">
      <c r="B40" s="69">
        <f t="shared" si="4"/>
        <v>46079</v>
      </c>
      <c r="C40" s="70">
        <f t="shared" si="3"/>
        <v>46079</v>
      </c>
      <c r="D40" s="71"/>
      <c r="E40" s="74" t="s">
        <v>23</v>
      </c>
      <c r="F40" s="75" t="s">
        <v>23</v>
      </c>
      <c r="G40" s="64" t="s">
        <v>23</v>
      </c>
      <c r="H40" s="75" t="s">
        <v>23</v>
      </c>
      <c r="I40" s="65" t="s">
        <v>23</v>
      </c>
      <c r="J40" s="66" t="s">
        <v>23</v>
      </c>
      <c r="K40" s="67" t="e">
        <f t="shared" si="0"/>
        <v>#VALUE!</v>
      </c>
      <c r="L40" s="68" t="e">
        <f t="shared" si="1"/>
        <v>#VALUE!</v>
      </c>
      <c r="M40" s="66" t="e">
        <f t="shared" si="2"/>
        <v>#VALUE!</v>
      </c>
    </row>
    <row r="41" spans="2:13" ht="22.95" customHeight="1">
      <c r="B41" s="69">
        <f t="shared" si="4"/>
        <v>46080</v>
      </c>
      <c r="C41" s="70">
        <f t="shared" si="3"/>
        <v>46080</v>
      </c>
      <c r="D41" s="71"/>
      <c r="E41" s="74" t="s">
        <v>23</v>
      </c>
      <c r="F41" s="75" t="s">
        <v>23</v>
      </c>
      <c r="G41" s="64" t="s">
        <v>23</v>
      </c>
      <c r="H41" s="75" t="s">
        <v>23</v>
      </c>
      <c r="I41" s="65" t="s">
        <v>23</v>
      </c>
      <c r="J41" s="66" t="s">
        <v>23</v>
      </c>
      <c r="K41" s="67" t="e">
        <f t="shared" si="0"/>
        <v>#VALUE!</v>
      </c>
      <c r="L41" s="68" t="e">
        <f t="shared" si="1"/>
        <v>#VALUE!</v>
      </c>
      <c r="M41" s="66" t="e">
        <f t="shared" si="2"/>
        <v>#VALUE!</v>
      </c>
    </row>
    <row r="42" spans="2:13" ht="22.95" customHeight="1">
      <c r="B42" s="46">
        <f t="shared" si="4"/>
        <v>46081</v>
      </c>
      <c r="C42" s="47">
        <f t="shared" si="3"/>
        <v>46081</v>
      </c>
      <c r="D42" s="48"/>
      <c r="E42" s="49" t="s">
        <v>23</v>
      </c>
      <c r="F42" s="50" t="s">
        <v>23</v>
      </c>
      <c r="G42" s="51" t="s">
        <v>23</v>
      </c>
      <c r="H42" s="50" t="s">
        <v>23</v>
      </c>
      <c r="I42" s="52" t="s">
        <v>23</v>
      </c>
      <c r="J42" s="53" t="s">
        <v>23</v>
      </c>
      <c r="K42" s="54" t="e">
        <f t="shared" si="0"/>
        <v>#VALUE!</v>
      </c>
      <c r="L42" s="55" t="e">
        <f t="shared" si="1"/>
        <v>#VALUE!</v>
      </c>
      <c r="M42" s="53" t="e">
        <f t="shared" si="2"/>
        <v>#VALUE!</v>
      </c>
    </row>
    <row r="43" spans="2:13" ht="22.95" customHeight="1">
      <c r="B43" s="69" t="str">
        <f t="shared" si="4"/>
        <v/>
      </c>
      <c r="C43" s="70" t="str">
        <f t="shared" si="3"/>
        <v/>
      </c>
      <c r="D43" s="71"/>
      <c r="E43" s="74" t="s">
        <v>23</v>
      </c>
      <c r="F43" s="75" t="s">
        <v>23</v>
      </c>
      <c r="G43" s="64" t="s">
        <v>23</v>
      </c>
      <c r="H43" s="75" t="s">
        <v>23</v>
      </c>
      <c r="I43" s="65" t="s">
        <v>23</v>
      </c>
      <c r="J43" s="66" t="s">
        <v>23</v>
      </c>
      <c r="K43" s="67" t="e">
        <f t="shared" si="0"/>
        <v>#VALUE!</v>
      </c>
      <c r="L43" s="68" t="e">
        <f t="shared" si="1"/>
        <v>#VALUE!</v>
      </c>
      <c r="M43" s="66" t="e">
        <f t="shared" si="2"/>
        <v>#VALUE!</v>
      </c>
    </row>
    <row r="44" spans="2:13" ht="22.95" customHeight="1">
      <c r="B44" s="69" t="str">
        <f t="shared" si="4"/>
        <v/>
      </c>
      <c r="C44" s="70" t="str">
        <f t="shared" si="3"/>
        <v/>
      </c>
      <c r="D44" s="71"/>
      <c r="E44" s="74" t="s">
        <v>23</v>
      </c>
      <c r="F44" s="75" t="s">
        <v>23</v>
      </c>
      <c r="G44" s="64" t="s">
        <v>23</v>
      </c>
      <c r="H44" s="75" t="s">
        <v>23</v>
      </c>
      <c r="I44" s="65" t="s">
        <v>23</v>
      </c>
      <c r="J44" s="66" t="s">
        <v>23</v>
      </c>
      <c r="K44" s="67" t="e">
        <f t="shared" si="0"/>
        <v>#VALUE!</v>
      </c>
      <c r="L44" s="68" t="e">
        <f t="shared" si="1"/>
        <v>#VALUE!</v>
      </c>
      <c r="M44" s="66" t="e">
        <f t="shared" si="2"/>
        <v>#VALUE!</v>
      </c>
    </row>
    <row r="45" spans="2:13" ht="22.95" customHeight="1" thickBot="1">
      <c r="B45" s="77" t="str">
        <f>IF(MONTH($B$15)=MONTH($B$15+ROW()-ROW($B$15)),$B$15+ROW()-ROW($B$15),"")</f>
        <v/>
      </c>
      <c r="C45" s="78" t="str">
        <f t="shared" si="3"/>
        <v/>
      </c>
      <c r="D45" s="79"/>
      <c r="E45" s="74" t="s">
        <v>23</v>
      </c>
      <c r="F45" s="75" t="s">
        <v>23</v>
      </c>
      <c r="G45" s="64" t="s">
        <v>23</v>
      </c>
      <c r="H45" s="75" t="s">
        <v>23</v>
      </c>
      <c r="I45" s="65" t="s">
        <v>23</v>
      </c>
      <c r="J45" s="80" t="s">
        <v>23</v>
      </c>
      <c r="K45" s="67" t="e">
        <f t="shared" si="0"/>
        <v>#VALUE!</v>
      </c>
      <c r="L45" s="68" t="e">
        <f t="shared" si="1"/>
        <v>#VALUE!</v>
      </c>
      <c r="M45" s="66" t="e">
        <f t="shared" si="2"/>
        <v>#VALUE!</v>
      </c>
    </row>
    <row r="46" spans="2:13" ht="22.95" customHeight="1" thickBot="1">
      <c r="B46" s="88" t="s">
        <v>24</v>
      </c>
      <c r="C46" s="89"/>
      <c r="D46" s="89"/>
      <c r="E46" s="89"/>
      <c r="F46" s="89"/>
      <c r="G46" s="89"/>
      <c r="H46" s="89"/>
      <c r="I46" s="89"/>
      <c r="J46" s="89"/>
      <c r="K46" s="81">
        <f>SUMIF(K15:K45,"&gt;0")</f>
        <v>0</v>
      </c>
      <c r="L46" s="82">
        <f>SUMIF(L15:L45,"&gt;0")</f>
        <v>0</v>
      </c>
      <c r="M46" s="83">
        <f>SUMIF(M15:M45,"&gt;0")</f>
        <v>0</v>
      </c>
    </row>
    <row r="48" spans="2:13" ht="20.100000000000001" customHeight="1">
      <c r="G48" s="15" t="s">
        <v>25</v>
      </c>
      <c r="H48" s="16">
        <f>COUNTIF(D15:D45,"出勤")</f>
        <v>0</v>
      </c>
      <c r="I48" s="29"/>
      <c r="J48" s="5"/>
      <c r="L48" s="30"/>
    </row>
    <row r="49" spans="7:12" ht="20.100000000000001" customHeight="1">
      <c r="G49" s="17" t="s">
        <v>26</v>
      </c>
      <c r="H49" s="16">
        <f>COUNTIF(D15:D45,"欠勤")</f>
        <v>0</v>
      </c>
      <c r="I49" s="29"/>
      <c r="J49" s="5"/>
      <c r="L49" s="30"/>
    </row>
    <row r="50" spans="7:12" ht="20.100000000000001" customHeight="1">
      <c r="G50" s="15" t="s">
        <v>27</v>
      </c>
      <c r="H50" s="16">
        <f>COUNTIF(D15:D45,"有給")</f>
        <v>0</v>
      </c>
      <c r="I50" s="29"/>
      <c r="J50" s="5"/>
    </row>
  </sheetData>
  <mergeCells count="3">
    <mergeCell ref="B8:C8"/>
    <mergeCell ref="B14:C14"/>
    <mergeCell ref="B46:J46"/>
  </mergeCells>
  <phoneticPr fontId="1"/>
  <conditionalFormatting sqref="B15:D45">
    <cfRule type="expression" dxfId="13" priority="1">
      <formula>WEEKDAY(B15)=7</formula>
    </cfRule>
    <cfRule type="expression" dxfId="12" priority="2">
      <formula>WEEKDAY(B15)=1</formula>
    </cfRule>
  </conditionalFormatting>
  <dataValidations count="1">
    <dataValidation type="list" allowBlank="1" showInputMessage="1" showErrorMessage="1" sqref="D15:D45" xr:uid="{6DE06995-E107-4C61-9D60-C97D6AA4B159}">
      <formula1>"出勤,欠勤,休日,有給"</formula1>
    </dataValidation>
  </dataValidation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80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477C3-F0BE-49C2-A7CD-69F90BBE6BAE}">
  <sheetPr>
    <pageSetUpPr fitToPage="1"/>
  </sheetPr>
  <dimension ref="B1:M45"/>
  <sheetViews>
    <sheetView showGridLines="0" topLeftCell="A29" zoomScale="115" zoomScaleNormal="115" workbookViewId="0">
      <selection activeCell="F35" sqref="F35"/>
    </sheetView>
  </sheetViews>
  <sheetFormatPr defaultColWidth="8.6640625" defaultRowHeight="13.2"/>
  <cols>
    <col min="1" max="1" width="2.6640625" customWidth="1"/>
    <col min="2" max="3" width="6.109375" customWidth="1"/>
    <col min="4" max="4" width="5.6640625" style="5" customWidth="1"/>
    <col min="5" max="6" width="17.6640625" customWidth="1"/>
    <col min="7" max="8" width="17.6640625" style="5" customWidth="1"/>
    <col min="9" max="10" width="17.6640625" customWidth="1"/>
    <col min="11" max="11" width="9.44140625" customWidth="1"/>
    <col min="12" max="12" width="9.44140625" style="5" customWidth="1"/>
    <col min="13" max="13" width="9.44140625" customWidth="1"/>
  </cols>
  <sheetData>
    <row r="1" spans="2:13" ht="31.95" customHeight="1">
      <c r="B1" s="34"/>
    </row>
    <row r="2" spans="2:13" ht="31.95" customHeight="1">
      <c r="B2" s="33"/>
    </row>
    <row r="3" spans="2:13" s="18" customFormat="1" ht="30.75" customHeight="1">
      <c r="B3" s="85">
        <v>2026</v>
      </c>
      <c r="C3" s="85"/>
      <c r="D3" s="19" t="s">
        <v>4</v>
      </c>
      <c r="E3" s="19">
        <v>2</v>
      </c>
      <c r="F3" s="19" t="s">
        <v>5</v>
      </c>
      <c r="G3" s="42"/>
      <c r="H3" s="20"/>
      <c r="I3" s="21">
        <f>DATE(B3,E3,1)</f>
        <v>46054</v>
      </c>
      <c r="L3" s="20"/>
    </row>
    <row r="4" spans="2:13" s="1" customFormat="1" ht="23.1" customHeight="1">
      <c r="B4" s="11"/>
      <c r="C4" s="11"/>
      <c r="D4" s="11"/>
      <c r="E4" s="11"/>
      <c r="F4" s="11"/>
      <c r="G4" s="7"/>
      <c r="H4" s="6"/>
      <c r="I4" s="27" t="s">
        <v>6</v>
      </c>
      <c r="J4" s="28" t="s">
        <v>28</v>
      </c>
      <c r="K4" s="23"/>
      <c r="L4" s="24"/>
    </row>
    <row r="5" spans="2:13" s="1" customFormat="1" ht="10.5" customHeight="1">
      <c r="B5" s="11"/>
      <c r="C5" s="11"/>
      <c r="D5" s="11"/>
      <c r="E5" s="11"/>
      <c r="F5" s="11"/>
      <c r="G5" s="7"/>
      <c r="H5" s="6"/>
      <c r="I5" s="22"/>
      <c r="J5" s="23"/>
      <c r="K5" s="23"/>
      <c r="L5" s="24"/>
    </row>
    <row r="6" spans="2:13" s="1" customFormat="1" ht="20.100000000000001" customHeight="1">
      <c r="B6" s="2"/>
      <c r="C6" s="2"/>
      <c r="D6" s="4"/>
      <c r="E6" s="2"/>
      <c r="F6" s="2"/>
      <c r="G6" s="12" t="s">
        <v>7</v>
      </c>
      <c r="H6" s="13" t="s">
        <v>8</v>
      </c>
      <c r="I6" s="13" t="s">
        <v>9</v>
      </c>
      <c r="J6" s="8" t="s">
        <v>10</v>
      </c>
      <c r="K6" s="13"/>
      <c r="L6" s="8"/>
    </row>
    <row r="7" spans="2:13" s="10" customFormat="1" ht="20.100000000000001" customHeight="1">
      <c r="C7" s="45"/>
      <c r="D7" s="10" t="s">
        <v>51</v>
      </c>
      <c r="E7" s="8"/>
      <c r="G7" s="14">
        <v>0.33333333333333331</v>
      </c>
      <c r="H7" s="14">
        <v>0.75</v>
      </c>
      <c r="I7" s="14">
        <v>8.3333333333333329E-2</v>
      </c>
      <c r="J7" s="14">
        <v>0.33333333333333331</v>
      </c>
      <c r="K7" s="26"/>
      <c r="L7" s="26"/>
      <c r="M7" s="9"/>
    </row>
    <row r="8" spans="2:13">
      <c r="B8" s="2"/>
      <c r="C8" s="2"/>
      <c r="D8" s="4"/>
      <c r="E8" s="2"/>
      <c r="F8" s="2"/>
      <c r="G8" s="4"/>
      <c r="H8" s="4"/>
      <c r="I8" s="2"/>
    </row>
    <row r="9" spans="2:13" ht="22.95" customHeight="1">
      <c r="B9" s="86" t="s">
        <v>12</v>
      </c>
      <c r="C9" s="87"/>
      <c r="D9" s="3" t="s">
        <v>13</v>
      </c>
      <c r="E9" s="38" t="s">
        <v>14</v>
      </c>
      <c r="F9" s="39" t="s">
        <v>15</v>
      </c>
      <c r="G9" s="40" t="s">
        <v>16</v>
      </c>
      <c r="H9" s="40" t="s">
        <v>17</v>
      </c>
      <c r="I9" s="39" t="s">
        <v>18</v>
      </c>
      <c r="J9" s="41" t="s">
        <v>19</v>
      </c>
      <c r="K9" s="25" t="s">
        <v>20</v>
      </c>
      <c r="L9" s="31" t="s">
        <v>21</v>
      </c>
      <c r="M9" s="32" t="s">
        <v>22</v>
      </c>
    </row>
    <row r="10" spans="2:13" ht="22.95" customHeight="1">
      <c r="B10" s="57">
        <f>DATE($B$3, $E$3, 1)</f>
        <v>46054</v>
      </c>
      <c r="C10" s="58">
        <f>B10</f>
        <v>46054</v>
      </c>
      <c r="D10" s="59"/>
      <c r="E10" s="60"/>
      <c r="F10" s="61"/>
      <c r="G10" s="51"/>
      <c r="H10" s="61"/>
      <c r="I10" s="52"/>
      <c r="J10" s="53"/>
      <c r="K10" s="54">
        <f t="shared" ref="K10:K40" si="0">F10-E10+J10-I10</f>
        <v>0</v>
      </c>
      <c r="L10" s="55">
        <f t="shared" ref="L10:L40" si="1">IF(OR(H10=":",H10=":"),":",H10-G10-TIMEVALUE("2:00"))</f>
        <v>-8.3333333333333329E-2</v>
      </c>
      <c r="M10" s="53">
        <f t="shared" ref="M10:M40" si="2">IF(K10+L10-"8:00"&lt;0,0,K10+L10-"8:00")</f>
        <v>0</v>
      </c>
    </row>
    <row r="11" spans="2:13" ht="22.95" customHeight="1">
      <c r="B11" s="69">
        <f>IF(MONTH($B$10)=MONTH($B$10+ROW()-ROW($B$10)),$B$10+ROW()-ROW($B$10),"")</f>
        <v>46055</v>
      </c>
      <c r="C11" s="70">
        <f t="shared" ref="C11:C40" si="3">B11</f>
        <v>46055</v>
      </c>
      <c r="D11" s="71"/>
      <c r="E11" s="62"/>
      <c r="F11" s="63"/>
      <c r="G11" s="64"/>
      <c r="H11" s="63"/>
      <c r="I11" s="72"/>
      <c r="J11" s="73"/>
      <c r="K11" s="67">
        <f t="shared" si="0"/>
        <v>0</v>
      </c>
      <c r="L11" s="68">
        <f t="shared" si="1"/>
        <v>-8.3333333333333329E-2</v>
      </c>
      <c r="M11" s="66">
        <f t="shared" si="2"/>
        <v>0</v>
      </c>
    </row>
    <row r="12" spans="2:13" ht="22.95" customHeight="1">
      <c r="B12" s="69">
        <f t="shared" ref="B12:B39" si="4">IF(MONTH($B$10)=MONTH($B$10+ROW()-ROW($B$10)),$B$10+ROW()-ROW($B$10),"")</f>
        <v>46056</v>
      </c>
      <c r="C12" s="70">
        <f t="shared" si="3"/>
        <v>46056</v>
      </c>
      <c r="D12" s="71"/>
      <c r="E12" s="74"/>
      <c r="F12" s="75"/>
      <c r="G12" s="64"/>
      <c r="H12" s="75"/>
      <c r="I12" s="65"/>
      <c r="J12" s="66"/>
      <c r="K12" s="67">
        <f t="shared" si="0"/>
        <v>0</v>
      </c>
      <c r="L12" s="68">
        <f t="shared" si="1"/>
        <v>-8.3333333333333329E-2</v>
      </c>
      <c r="M12" s="66">
        <f t="shared" si="2"/>
        <v>0</v>
      </c>
    </row>
    <row r="13" spans="2:13" ht="22.95" customHeight="1">
      <c r="B13" s="69">
        <f t="shared" si="4"/>
        <v>46057</v>
      </c>
      <c r="C13" s="70">
        <f t="shared" si="3"/>
        <v>46057</v>
      </c>
      <c r="D13" s="71"/>
      <c r="E13" s="74"/>
      <c r="F13" s="75"/>
      <c r="G13" s="64"/>
      <c r="H13" s="75"/>
      <c r="I13" s="65"/>
      <c r="J13" s="66"/>
      <c r="K13" s="67">
        <f t="shared" si="0"/>
        <v>0</v>
      </c>
      <c r="L13" s="68">
        <f t="shared" si="1"/>
        <v>-8.3333333333333329E-2</v>
      </c>
      <c r="M13" s="66">
        <f t="shared" si="2"/>
        <v>0</v>
      </c>
    </row>
    <row r="14" spans="2:13" ht="22.95" customHeight="1">
      <c r="B14" s="69">
        <f t="shared" si="4"/>
        <v>46058</v>
      </c>
      <c r="C14" s="70">
        <f t="shared" si="3"/>
        <v>46058</v>
      </c>
      <c r="D14" s="71"/>
      <c r="E14" s="74"/>
      <c r="F14" s="75"/>
      <c r="G14" s="64"/>
      <c r="H14" s="75"/>
      <c r="I14" s="65"/>
      <c r="J14" s="66"/>
      <c r="K14" s="67">
        <f t="shared" si="0"/>
        <v>0</v>
      </c>
      <c r="L14" s="68">
        <f t="shared" si="1"/>
        <v>-8.3333333333333329E-2</v>
      </c>
      <c r="M14" s="66">
        <f t="shared" si="2"/>
        <v>0</v>
      </c>
    </row>
    <row r="15" spans="2:13" ht="22.95" customHeight="1">
      <c r="B15" s="69">
        <f t="shared" si="4"/>
        <v>46059</v>
      </c>
      <c r="C15" s="70">
        <f t="shared" si="3"/>
        <v>46059</v>
      </c>
      <c r="D15" s="71"/>
      <c r="E15" s="74"/>
      <c r="F15" s="75"/>
      <c r="G15" s="64"/>
      <c r="H15" s="75"/>
      <c r="I15" s="65"/>
      <c r="J15" s="66"/>
      <c r="K15" s="67">
        <f t="shared" si="0"/>
        <v>0</v>
      </c>
      <c r="L15" s="68">
        <f t="shared" si="1"/>
        <v>-8.3333333333333329E-2</v>
      </c>
      <c r="M15" s="66">
        <f t="shared" si="2"/>
        <v>0</v>
      </c>
    </row>
    <row r="16" spans="2:13" ht="22.95" customHeight="1">
      <c r="B16" s="46">
        <f t="shared" si="4"/>
        <v>46060</v>
      </c>
      <c r="C16" s="47">
        <f t="shared" si="3"/>
        <v>46060</v>
      </c>
      <c r="D16" s="48"/>
      <c r="E16" s="49"/>
      <c r="F16" s="50"/>
      <c r="G16" s="51"/>
      <c r="H16" s="50"/>
      <c r="I16" s="52"/>
      <c r="J16" s="53"/>
      <c r="K16" s="54">
        <f t="shared" si="0"/>
        <v>0</v>
      </c>
      <c r="L16" s="55">
        <f t="shared" si="1"/>
        <v>-8.3333333333333329E-2</v>
      </c>
      <c r="M16" s="53">
        <f t="shared" si="2"/>
        <v>0</v>
      </c>
    </row>
    <row r="17" spans="2:13" ht="22.95" customHeight="1">
      <c r="B17" s="46">
        <f t="shared" si="4"/>
        <v>46061</v>
      </c>
      <c r="C17" s="47">
        <f t="shared" si="3"/>
        <v>46061</v>
      </c>
      <c r="D17" s="48"/>
      <c r="E17" s="49"/>
      <c r="F17" s="50"/>
      <c r="G17" s="51"/>
      <c r="H17" s="50"/>
      <c r="I17" s="52"/>
      <c r="J17" s="53"/>
      <c r="K17" s="54">
        <f t="shared" si="0"/>
        <v>0</v>
      </c>
      <c r="L17" s="55">
        <f t="shared" si="1"/>
        <v>-8.3333333333333329E-2</v>
      </c>
      <c r="M17" s="53">
        <f t="shared" si="2"/>
        <v>0</v>
      </c>
    </row>
    <row r="18" spans="2:13" ht="22.95" customHeight="1">
      <c r="B18" s="69">
        <f t="shared" si="4"/>
        <v>46062</v>
      </c>
      <c r="C18" s="70">
        <f t="shared" si="3"/>
        <v>46062</v>
      </c>
      <c r="D18" s="71"/>
      <c r="E18" s="74"/>
      <c r="F18" s="75"/>
      <c r="G18" s="76"/>
      <c r="H18" s="75"/>
      <c r="I18" s="65"/>
      <c r="J18" s="66"/>
      <c r="K18" s="67">
        <f t="shared" si="0"/>
        <v>0</v>
      </c>
      <c r="L18" s="68">
        <f t="shared" si="1"/>
        <v>-8.3333333333333329E-2</v>
      </c>
      <c r="M18" s="66">
        <f t="shared" si="2"/>
        <v>0</v>
      </c>
    </row>
    <row r="19" spans="2:13" ht="22.95" customHeight="1">
      <c r="B19" s="69">
        <f t="shared" si="4"/>
        <v>46063</v>
      </c>
      <c r="C19" s="70">
        <f t="shared" si="3"/>
        <v>46063</v>
      </c>
      <c r="D19" s="71"/>
      <c r="E19" s="74"/>
      <c r="F19" s="75"/>
      <c r="G19" s="64"/>
      <c r="H19" s="75"/>
      <c r="I19" s="65"/>
      <c r="J19" s="66"/>
      <c r="K19" s="67">
        <f t="shared" si="0"/>
        <v>0</v>
      </c>
      <c r="L19" s="68">
        <f t="shared" si="1"/>
        <v>-8.3333333333333329E-2</v>
      </c>
      <c r="M19" s="66">
        <f t="shared" si="2"/>
        <v>0</v>
      </c>
    </row>
    <row r="20" spans="2:13" ht="22.95" customHeight="1">
      <c r="B20" s="69">
        <f t="shared" si="4"/>
        <v>46064</v>
      </c>
      <c r="C20" s="70">
        <f t="shared" si="3"/>
        <v>46064</v>
      </c>
      <c r="D20" s="71"/>
      <c r="E20" s="74"/>
      <c r="F20" s="75"/>
      <c r="G20" s="64"/>
      <c r="H20" s="75"/>
      <c r="I20" s="65"/>
      <c r="J20" s="66"/>
      <c r="K20" s="67">
        <f t="shared" si="0"/>
        <v>0</v>
      </c>
      <c r="L20" s="68">
        <f t="shared" si="1"/>
        <v>-8.3333333333333329E-2</v>
      </c>
      <c r="M20" s="66">
        <f t="shared" si="2"/>
        <v>0</v>
      </c>
    </row>
    <row r="21" spans="2:13" ht="22.95" customHeight="1">
      <c r="B21" s="69">
        <f t="shared" si="4"/>
        <v>46065</v>
      </c>
      <c r="C21" s="70">
        <f t="shared" si="3"/>
        <v>46065</v>
      </c>
      <c r="D21" s="71"/>
      <c r="E21" s="74"/>
      <c r="F21" s="75"/>
      <c r="G21" s="64"/>
      <c r="H21" s="75"/>
      <c r="I21" s="65"/>
      <c r="J21" s="66"/>
      <c r="K21" s="67">
        <f t="shared" si="0"/>
        <v>0</v>
      </c>
      <c r="L21" s="68">
        <f t="shared" si="1"/>
        <v>-8.3333333333333329E-2</v>
      </c>
      <c r="M21" s="66">
        <f t="shared" si="2"/>
        <v>0</v>
      </c>
    </row>
    <row r="22" spans="2:13" ht="22.95" customHeight="1">
      <c r="B22" s="69">
        <f t="shared" si="4"/>
        <v>46066</v>
      </c>
      <c r="C22" s="70">
        <f t="shared" si="3"/>
        <v>46066</v>
      </c>
      <c r="D22" s="71"/>
      <c r="E22" s="74"/>
      <c r="F22" s="75"/>
      <c r="G22" s="64"/>
      <c r="H22" s="75"/>
      <c r="I22" s="65"/>
      <c r="J22" s="66"/>
      <c r="K22" s="67">
        <f t="shared" si="0"/>
        <v>0</v>
      </c>
      <c r="L22" s="68">
        <f t="shared" si="1"/>
        <v>-8.3333333333333329E-2</v>
      </c>
      <c r="M22" s="66">
        <f t="shared" si="2"/>
        <v>0</v>
      </c>
    </row>
    <row r="23" spans="2:13" ht="22.95" customHeight="1">
      <c r="B23" s="46">
        <f t="shared" si="4"/>
        <v>46067</v>
      </c>
      <c r="C23" s="47">
        <f t="shared" si="3"/>
        <v>46067</v>
      </c>
      <c r="D23" s="48"/>
      <c r="E23" s="49"/>
      <c r="F23" s="50"/>
      <c r="G23" s="51"/>
      <c r="H23" s="50"/>
      <c r="I23" s="52"/>
      <c r="J23" s="53"/>
      <c r="K23" s="54">
        <f t="shared" si="0"/>
        <v>0</v>
      </c>
      <c r="L23" s="55">
        <f t="shared" si="1"/>
        <v>-8.3333333333333329E-2</v>
      </c>
      <c r="M23" s="53">
        <f t="shared" si="2"/>
        <v>0</v>
      </c>
    </row>
    <row r="24" spans="2:13" ht="22.95" customHeight="1">
      <c r="B24" s="46">
        <f t="shared" si="4"/>
        <v>46068</v>
      </c>
      <c r="C24" s="47">
        <f t="shared" si="3"/>
        <v>46068</v>
      </c>
      <c r="D24" s="48"/>
      <c r="E24" s="49"/>
      <c r="F24" s="50"/>
      <c r="G24" s="51"/>
      <c r="H24" s="50"/>
      <c r="I24" s="52"/>
      <c r="J24" s="53"/>
      <c r="K24" s="54">
        <f t="shared" si="0"/>
        <v>0</v>
      </c>
      <c r="L24" s="55">
        <f t="shared" si="1"/>
        <v>-8.3333333333333329E-2</v>
      </c>
      <c r="M24" s="53">
        <f t="shared" si="2"/>
        <v>0</v>
      </c>
    </row>
    <row r="25" spans="2:13" ht="22.95" customHeight="1">
      <c r="B25" s="69">
        <f t="shared" si="4"/>
        <v>46069</v>
      </c>
      <c r="C25" s="70">
        <f t="shared" si="3"/>
        <v>46069</v>
      </c>
      <c r="D25" s="71"/>
      <c r="E25" s="74"/>
      <c r="F25" s="75"/>
      <c r="G25" s="64"/>
      <c r="H25" s="75"/>
      <c r="I25" s="65"/>
      <c r="J25" s="66"/>
      <c r="K25" s="67">
        <f t="shared" si="0"/>
        <v>0</v>
      </c>
      <c r="L25" s="68">
        <f t="shared" si="1"/>
        <v>-8.3333333333333329E-2</v>
      </c>
      <c r="M25" s="66">
        <f t="shared" si="2"/>
        <v>0</v>
      </c>
    </row>
    <row r="26" spans="2:13" ht="22.95" customHeight="1">
      <c r="B26" s="69">
        <f t="shared" si="4"/>
        <v>46070</v>
      </c>
      <c r="C26" s="70">
        <f t="shared" si="3"/>
        <v>46070</v>
      </c>
      <c r="D26" s="71"/>
      <c r="E26" s="74"/>
      <c r="F26" s="75"/>
      <c r="G26" s="64"/>
      <c r="H26" s="75"/>
      <c r="I26" s="65"/>
      <c r="J26" s="66"/>
      <c r="K26" s="67">
        <f t="shared" si="0"/>
        <v>0</v>
      </c>
      <c r="L26" s="68">
        <f t="shared" si="1"/>
        <v>-8.3333333333333329E-2</v>
      </c>
      <c r="M26" s="66">
        <f t="shared" si="2"/>
        <v>0</v>
      </c>
    </row>
    <row r="27" spans="2:13" ht="22.95" customHeight="1">
      <c r="B27" s="69">
        <f t="shared" si="4"/>
        <v>46071</v>
      </c>
      <c r="C27" s="70">
        <f t="shared" si="3"/>
        <v>46071</v>
      </c>
      <c r="D27" s="71"/>
      <c r="E27" s="74"/>
      <c r="F27" s="75"/>
      <c r="G27" s="64"/>
      <c r="H27" s="75"/>
      <c r="I27" s="65"/>
      <c r="J27" s="66"/>
      <c r="K27" s="67">
        <f t="shared" si="0"/>
        <v>0</v>
      </c>
      <c r="L27" s="68">
        <f t="shared" si="1"/>
        <v>-8.3333333333333329E-2</v>
      </c>
      <c r="M27" s="66">
        <f t="shared" si="2"/>
        <v>0</v>
      </c>
    </row>
    <row r="28" spans="2:13" ht="22.95" customHeight="1">
      <c r="B28" s="69">
        <f t="shared" si="4"/>
        <v>46072</v>
      </c>
      <c r="C28" s="70">
        <f t="shared" si="3"/>
        <v>46072</v>
      </c>
      <c r="D28" s="71"/>
      <c r="E28" s="74"/>
      <c r="F28" s="75"/>
      <c r="G28" s="64"/>
      <c r="H28" s="75"/>
      <c r="I28" s="65"/>
      <c r="J28" s="66"/>
      <c r="K28" s="67">
        <f t="shared" si="0"/>
        <v>0</v>
      </c>
      <c r="L28" s="68">
        <f t="shared" si="1"/>
        <v>-8.3333333333333329E-2</v>
      </c>
      <c r="M28" s="66">
        <f t="shared" si="2"/>
        <v>0</v>
      </c>
    </row>
    <row r="29" spans="2:13" ht="22.95" customHeight="1">
      <c r="B29" s="69">
        <f t="shared" si="4"/>
        <v>46073</v>
      </c>
      <c r="C29" s="70">
        <f t="shared" si="3"/>
        <v>46073</v>
      </c>
      <c r="D29" s="71"/>
      <c r="E29" s="74"/>
      <c r="F29" s="75"/>
      <c r="G29" s="64"/>
      <c r="H29" s="75"/>
      <c r="I29" s="65"/>
      <c r="J29" s="66"/>
      <c r="K29" s="67">
        <f t="shared" si="0"/>
        <v>0</v>
      </c>
      <c r="L29" s="68">
        <f t="shared" si="1"/>
        <v>-8.3333333333333329E-2</v>
      </c>
      <c r="M29" s="66">
        <f t="shared" si="2"/>
        <v>0</v>
      </c>
    </row>
    <row r="30" spans="2:13" ht="22.95" customHeight="1">
      <c r="B30" s="69">
        <f t="shared" si="4"/>
        <v>46074</v>
      </c>
      <c r="C30" s="70">
        <f t="shared" si="3"/>
        <v>46074</v>
      </c>
      <c r="D30" s="71"/>
      <c r="E30" s="74"/>
      <c r="F30" s="75"/>
      <c r="G30" s="64"/>
      <c r="H30" s="75"/>
      <c r="I30" s="65"/>
      <c r="J30" s="66"/>
      <c r="K30" s="67">
        <f t="shared" si="0"/>
        <v>0</v>
      </c>
      <c r="L30" s="68">
        <f t="shared" si="1"/>
        <v>-8.3333333333333329E-2</v>
      </c>
      <c r="M30" s="66">
        <f t="shared" si="2"/>
        <v>0</v>
      </c>
    </row>
    <row r="31" spans="2:13" ht="22.95" customHeight="1">
      <c r="B31" s="46">
        <f t="shared" si="4"/>
        <v>46075</v>
      </c>
      <c r="C31" s="47">
        <f t="shared" si="3"/>
        <v>46075</v>
      </c>
      <c r="D31" s="48"/>
      <c r="E31" s="49"/>
      <c r="F31" s="50"/>
      <c r="G31" s="51"/>
      <c r="H31" s="50"/>
      <c r="I31" s="52"/>
      <c r="J31" s="53"/>
      <c r="K31" s="54">
        <f t="shared" si="0"/>
        <v>0</v>
      </c>
      <c r="L31" s="55">
        <f t="shared" si="1"/>
        <v>-8.3333333333333329E-2</v>
      </c>
      <c r="M31" s="53">
        <f t="shared" si="2"/>
        <v>0</v>
      </c>
    </row>
    <row r="32" spans="2:13" ht="22.95" customHeight="1">
      <c r="B32" s="69">
        <f t="shared" si="4"/>
        <v>46076</v>
      </c>
      <c r="C32" s="70">
        <f t="shared" si="3"/>
        <v>46076</v>
      </c>
      <c r="D32" s="71"/>
      <c r="E32" s="74"/>
      <c r="F32" s="75"/>
      <c r="G32" s="64"/>
      <c r="H32" s="75"/>
      <c r="I32" s="65"/>
      <c r="J32" s="66"/>
      <c r="K32" s="67">
        <f t="shared" si="0"/>
        <v>0</v>
      </c>
      <c r="L32" s="68">
        <f t="shared" si="1"/>
        <v>-8.3333333333333329E-2</v>
      </c>
      <c r="M32" s="66">
        <f t="shared" si="2"/>
        <v>0</v>
      </c>
    </row>
    <row r="33" spans="2:13" ht="22.95" customHeight="1">
      <c r="B33" s="69">
        <f t="shared" si="4"/>
        <v>46077</v>
      </c>
      <c r="C33" s="70">
        <f t="shared" si="3"/>
        <v>46077</v>
      </c>
      <c r="D33" s="71"/>
      <c r="E33" s="74"/>
      <c r="F33" s="75"/>
      <c r="G33" s="64"/>
      <c r="H33" s="75"/>
      <c r="I33" s="65"/>
      <c r="J33" s="66"/>
      <c r="K33" s="67">
        <f t="shared" si="0"/>
        <v>0</v>
      </c>
      <c r="L33" s="68">
        <f t="shared" si="1"/>
        <v>-8.3333333333333329E-2</v>
      </c>
      <c r="M33" s="66">
        <f t="shared" si="2"/>
        <v>0</v>
      </c>
    </row>
    <row r="34" spans="2:13" ht="22.95" customHeight="1">
      <c r="B34" s="69">
        <f t="shared" si="4"/>
        <v>46078</v>
      </c>
      <c r="C34" s="70">
        <f t="shared" si="3"/>
        <v>46078</v>
      </c>
      <c r="D34" s="71"/>
      <c r="E34" s="74"/>
      <c r="F34" s="75"/>
      <c r="G34" s="64"/>
      <c r="H34" s="75"/>
      <c r="I34" s="65"/>
      <c r="J34" s="66"/>
      <c r="K34" s="67">
        <f t="shared" si="0"/>
        <v>0</v>
      </c>
      <c r="L34" s="68">
        <f t="shared" si="1"/>
        <v>-8.3333333333333329E-2</v>
      </c>
      <c r="M34" s="66">
        <f t="shared" si="2"/>
        <v>0</v>
      </c>
    </row>
    <row r="35" spans="2:13" ht="22.95" customHeight="1">
      <c r="B35" s="69">
        <f t="shared" si="4"/>
        <v>46079</v>
      </c>
      <c r="C35" s="70">
        <f t="shared" si="3"/>
        <v>46079</v>
      </c>
      <c r="D35" s="71"/>
      <c r="E35" s="74"/>
      <c r="F35" s="75"/>
      <c r="G35" s="64"/>
      <c r="H35" s="75"/>
      <c r="I35" s="65"/>
      <c r="J35" s="66"/>
      <c r="K35" s="67">
        <f t="shared" si="0"/>
        <v>0</v>
      </c>
      <c r="L35" s="68">
        <f t="shared" si="1"/>
        <v>-8.3333333333333329E-2</v>
      </c>
      <c r="M35" s="66">
        <f t="shared" si="2"/>
        <v>0</v>
      </c>
    </row>
    <row r="36" spans="2:13" ht="22.95" customHeight="1">
      <c r="B36" s="69">
        <f t="shared" si="4"/>
        <v>46080</v>
      </c>
      <c r="C36" s="70">
        <f t="shared" si="3"/>
        <v>46080</v>
      </c>
      <c r="D36" s="71"/>
      <c r="E36" s="74"/>
      <c r="F36" s="75"/>
      <c r="G36" s="64"/>
      <c r="H36" s="75"/>
      <c r="I36" s="65"/>
      <c r="J36" s="66"/>
      <c r="K36" s="67">
        <f t="shared" si="0"/>
        <v>0</v>
      </c>
      <c r="L36" s="68">
        <f t="shared" si="1"/>
        <v>-8.3333333333333329E-2</v>
      </c>
      <c r="M36" s="66">
        <f t="shared" si="2"/>
        <v>0</v>
      </c>
    </row>
    <row r="37" spans="2:13" ht="22.95" customHeight="1">
      <c r="B37" s="46">
        <f t="shared" si="4"/>
        <v>46081</v>
      </c>
      <c r="C37" s="47">
        <f t="shared" si="3"/>
        <v>46081</v>
      </c>
      <c r="D37" s="48"/>
      <c r="E37" s="49"/>
      <c r="F37" s="50"/>
      <c r="G37" s="51"/>
      <c r="H37" s="50"/>
      <c r="I37" s="52"/>
      <c r="J37" s="53"/>
      <c r="K37" s="54">
        <f t="shared" si="0"/>
        <v>0</v>
      </c>
      <c r="L37" s="55">
        <f t="shared" si="1"/>
        <v>-8.3333333333333329E-2</v>
      </c>
      <c r="M37" s="53">
        <f t="shared" si="2"/>
        <v>0</v>
      </c>
    </row>
    <row r="38" spans="2:13" ht="22.95" customHeight="1">
      <c r="B38" s="69" t="str">
        <f t="shared" si="4"/>
        <v/>
      </c>
      <c r="C38" s="70" t="str">
        <f t="shared" si="3"/>
        <v/>
      </c>
      <c r="D38" s="71"/>
      <c r="E38" s="74"/>
      <c r="F38" s="75"/>
      <c r="G38" s="64"/>
      <c r="H38" s="75"/>
      <c r="I38" s="65"/>
      <c r="J38" s="66"/>
      <c r="K38" s="67">
        <f t="shared" si="0"/>
        <v>0</v>
      </c>
      <c r="L38" s="68">
        <f t="shared" si="1"/>
        <v>-8.3333333333333329E-2</v>
      </c>
      <c r="M38" s="66">
        <f t="shared" si="2"/>
        <v>0</v>
      </c>
    </row>
    <row r="39" spans="2:13" ht="22.95" customHeight="1">
      <c r="B39" s="69" t="str">
        <f t="shared" si="4"/>
        <v/>
      </c>
      <c r="C39" s="70" t="str">
        <f t="shared" si="3"/>
        <v/>
      </c>
      <c r="D39" s="71"/>
      <c r="E39" s="74"/>
      <c r="F39" s="75"/>
      <c r="G39" s="64"/>
      <c r="H39" s="75"/>
      <c r="I39" s="65"/>
      <c r="J39" s="66"/>
      <c r="K39" s="67">
        <f t="shared" si="0"/>
        <v>0</v>
      </c>
      <c r="L39" s="68">
        <f t="shared" si="1"/>
        <v>-8.3333333333333329E-2</v>
      </c>
      <c r="M39" s="66">
        <f t="shared" si="2"/>
        <v>0</v>
      </c>
    </row>
    <row r="40" spans="2:13" ht="22.95" customHeight="1">
      <c r="B40" s="77" t="str">
        <f>IF(MONTH($B$10)=MONTH($B$10+ROW()-ROW($B$10)),$B$10+ROW()-ROW($B$10),"")</f>
        <v/>
      </c>
      <c r="C40" s="78" t="str">
        <f t="shared" si="3"/>
        <v/>
      </c>
      <c r="D40" s="79"/>
      <c r="E40" s="74"/>
      <c r="F40" s="75"/>
      <c r="G40" s="64"/>
      <c r="H40" s="75"/>
      <c r="I40" s="65"/>
      <c r="J40" s="80"/>
      <c r="K40" s="67">
        <f t="shared" si="0"/>
        <v>0</v>
      </c>
      <c r="L40" s="68">
        <f t="shared" si="1"/>
        <v>-8.3333333333333329E-2</v>
      </c>
      <c r="M40" s="66">
        <f t="shared" si="2"/>
        <v>0</v>
      </c>
    </row>
    <row r="41" spans="2:13" ht="22.95" customHeight="1">
      <c r="B41" s="88" t="s">
        <v>24</v>
      </c>
      <c r="C41" s="89"/>
      <c r="D41" s="89"/>
      <c r="E41" s="89"/>
      <c r="F41" s="89"/>
      <c r="G41" s="89"/>
      <c r="H41" s="89"/>
      <c r="I41" s="89"/>
      <c r="J41" s="89"/>
      <c r="K41" s="81">
        <f>SUMIF(K10:K40,"&gt;0")</f>
        <v>0</v>
      </c>
      <c r="L41" s="82">
        <f>SUMIF(L10:L40,"&gt;0")</f>
        <v>0</v>
      </c>
      <c r="M41" s="83">
        <f>SUMIF(M10:M40,"&gt;0")</f>
        <v>0</v>
      </c>
    </row>
    <row r="43" spans="2:13" ht="20.100000000000001" customHeight="1">
      <c r="G43" s="15" t="s">
        <v>25</v>
      </c>
      <c r="H43" s="16">
        <f>COUNTIF(D10:D40,"出勤")</f>
        <v>0</v>
      </c>
      <c r="I43" s="29"/>
      <c r="J43" s="5"/>
      <c r="L43" s="30"/>
    </row>
    <row r="44" spans="2:13" ht="20.100000000000001" customHeight="1">
      <c r="G44" s="17" t="s">
        <v>26</v>
      </c>
      <c r="H44" s="16">
        <f>COUNTIF(D10:D40,"欠勤")</f>
        <v>0</v>
      </c>
      <c r="I44" s="29"/>
      <c r="J44" s="5"/>
      <c r="L44" s="30"/>
    </row>
    <row r="45" spans="2:13" ht="20.100000000000001" customHeight="1">
      <c r="G45" s="15" t="s">
        <v>27</v>
      </c>
      <c r="H45" s="16">
        <f>COUNTIF(D10:D40,"有給")</f>
        <v>0</v>
      </c>
      <c r="I45" s="29"/>
      <c r="J45" s="5"/>
    </row>
  </sheetData>
  <mergeCells count="3">
    <mergeCell ref="B3:C3"/>
    <mergeCell ref="B9:C9"/>
    <mergeCell ref="B41:J41"/>
  </mergeCells>
  <phoneticPr fontId="1"/>
  <conditionalFormatting sqref="B10:D40">
    <cfRule type="expression" dxfId="11" priority="1">
      <formula>WEEKDAY(B10)=7</formula>
    </cfRule>
    <cfRule type="expression" dxfId="10" priority="2">
      <formula>WEEKDAY(B10)=1</formula>
    </cfRule>
  </conditionalFormatting>
  <dataValidations count="1">
    <dataValidation type="list" allowBlank="1" showInputMessage="1" showErrorMessage="1" sqref="D10:D40" xr:uid="{EC2E59D5-27F4-49FB-8026-20E7CC2CC4DE}">
      <formula1>"出勤,欠勤,休日,有給"</formula1>
    </dataValidation>
  </dataValidation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7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3C9EF-5806-45AB-89A3-2AB026460428}">
  <sheetPr>
    <pageSetUpPr fitToPage="1"/>
  </sheetPr>
  <dimension ref="B1:M45"/>
  <sheetViews>
    <sheetView showGridLines="0" zoomScale="115" zoomScaleNormal="115" workbookViewId="0">
      <selection activeCell="F35" sqref="F35"/>
    </sheetView>
  </sheetViews>
  <sheetFormatPr defaultColWidth="8.6640625" defaultRowHeight="13.2"/>
  <cols>
    <col min="1" max="1" width="2.6640625" customWidth="1"/>
    <col min="2" max="3" width="6.109375" customWidth="1"/>
    <col min="4" max="4" width="5.6640625" style="5" customWidth="1"/>
    <col min="5" max="6" width="17.6640625" customWidth="1"/>
    <col min="7" max="8" width="17.6640625" style="5" customWidth="1"/>
    <col min="9" max="10" width="17.6640625" customWidth="1"/>
    <col min="11" max="11" width="9.44140625" customWidth="1"/>
    <col min="12" max="12" width="9.44140625" style="5" customWidth="1"/>
    <col min="13" max="13" width="9.44140625" customWidth="1"/>
  </cols>
  <sheetData>
    <row r="1" spans="2:13" ht="31.95" customHeight="1">
      <c r="B1" s="34"/>
    </row>
    <row r="2" spans="2:13" ht="31.95" customHeight="1">
      <c r="B2" s="33"/>
    </row>
    <row r="3" spans="2:13" s="18" customFormat="1" ht="30.75" customHeight="1">
      <c r="B3" s="85">
        <v>2026</v>
      </c>
      <c r="C3" s="85"/>
      <c r="D3" s="19" t="s">
        <v>4</v>
      </c>
      <c r="E3" s="19">
        <v>2</v>
      </c>
      <c r="F3" s="19" t="s">
        <v>5</v>
      </c>
      <c r="G3" s="42"/>
      <c r="H3" s="20"/>
      <c r="I3" s="21">
        <f>DATE(B3,E3,1)</f>
        <v>46054</v>
      </c>
      <c r="L3" s="20"/>
    </row>
    <row r="4" spans="2:13" s="1" customFormat="1" ht="23.1" customHeight="1">
      <c r="B4" s="11"/>
      <c r="C4" s="11"/>
      <c r="D4" s="11"/>
      <c r="E4" s="11"/>
      <c r="F4" s="11"/>
      <c r="G4" s="7"/>
      <c r="H4" s="6"/>
      <c r="I4" s="27" t="s">
        <v>6</v>
      </c>
      <c r="J4" s="28" t="s">
        <v>29</v>
      </c>
      <c r="K4" s="23"/>
      <c r="L4" s="24"/>
    </row>
    <row r="5" spans="2:13" s="1" customFormat="1" ht="10.5" customHeight="1">
      <c r="B5" s="11"/>
      <c r="C5" s="11"/>
      <c r="D5" s="11"/>
      <c r="E5" s="11"/>
      <c r="F5" s="11"/>
      <c r="G5" s="7"/>
      <c r="H5" s="6"/>
      <c r="I5" s="22"/>
      <c r="J5" s="23"/>
      <c r="K5" s="23"/>
      <c r="L5" s="24"/>
    </row>
    <row r="6" spans="2:13" s="1" customFormat="1" ht="20.100000000000001" customHeight="1">
      <c r="B6" s="2"/>
      <c r="C6" s="2"/>
      <c r="D6" s="4"/>
      <c r="E6" s="2"/>
      <c r="F6" s="2"/>
      <c r="G6" s="12" t="s">
        <v>7</v>
      </c>
      <c r="H6" s="13" t="s">
        <v>8</v>
      </c>
      <c r="I6" s="13" t="s">
        <v>9</v>
      </c>
      <c r="J6" s="8" t="s">
        <v>10</v>
      </c>
      <c r="K6" s="13"/>
      <c r="L6" s="8"/>
    </row>
    <row r="7" spans="2:13" s="10" customFormat="1" ht="20.100000000000001" customHeight="1">
      <c r="C7" s="45"/>
      <c r="D7" s="10" t="s">
        <v>51</v>
      </c>
      <c r="E7" s="8"/>
      <c r="G7" s="14">
        <v>0.33333333333333331</v>
      </c>
      <c r="H7" s="14">
        <v>0.75</v>
      </c>
      <c r="I7" s="14">
        <v>8.3333333333333329E-2</v>
      </c>
      <c r="J7" s="14">
        <v>0.33333333333333331</v>
      </c>
      <c r="K7" s="26"/>
      <c r="L7" s="26"/>
      <c r="M7" s="9"/>
    </row>
    <row r="8" spans="2:13">
      <c r="B8" s="2"/>
      <c r="C8" s="2"/>
      <c r="D8" s="4"/>
      <c r="E8" s="2"/>
      <c r="F8" s="2"/>
      <c r="G8" s="4"/>
      <c r="H8" s="4"/>
      <c r="I8" s="2"/>
    </row>
    <row r="9" spans="2:13" ht="22.95" customHeight="1">
      <c r="B9" s="86" t="s">
        <v>12</v>
      </c>
      <c r="C9" s="87"/>
      <c r="D9" s="3" t="s">
        <v>13</v>
      </c>
      <c r="E9" s="38" t="s">
        <v>14</v>
      </c>
      <c r="F9" s="39" t="s">
        <v>15</v>
      </c>
      <c r="G9" s="40" t="s">
        <v>16</v>
      </c>
      <c r="H9" s="40" t="s">
        <v>17</v>
      </c>
      <c r="I9" s="39" t="s">
        <v>18</v>
      </c>
      <c r="J9" s="41" t="s">
        <v>19</v>
      </c>
      <c r="K9" s="25" t="s">
        <v>20</v>
      </c>
      <c r="L9" s="31" t="s">
        <v>21</v>
      </c>
      <c r="M9" s="32" t="s">
        <v>22</v>
      </c>
    </row>
    <row r="10" spans="2:13" ht="22.95" customHeight="1">
      <c r="B10" s="57">
        <f>DATE($B$3, $E$3, 1)</f>
        <v>46054</v>
      </c>
      <c r="C10" s="58">
        <f>B10</f>
        <v>46054</v>
      </c>
      <c r="D10" s="59"/>
      <c r="E10" s="60"/>
      <c r="F10" s="61"/>
      <c r="G10" s="51"/>
      <c r="H10" s="61"/>
      <c r="I10" s="52"/>
      <c r="J10" s="53"/>
      <c r="K10" s="54">
        <f t="shared" ref="K10:K40" si="0">F10-E10+J10-I10</f>
        <v>0</v>
      </c>
      <c r="L10" s="55">
        <f t="shared" ref="L10:L40" si="1">IF(OR(H10=":",H10=":"),":",H10-G10-TIMEVALUE("2:00"))</f>
        <v>-8.3333333333333329E-2</v>
      </c>
      <c r="M10" s="53">
        <f t="shared" ref="M10:M40" si="2">IF(K10+L10-"8:00"&lt;0,0,K10+L10-"8:00")</f>
        <v>0</v>
      </c>
    </row>
    <row r="11" spans="2:13" ht="22.95" customHeight="1">
      <c r="B11" s="69">
        <f>IF(MONTH($B$10)=MONTH($B$10+ROW()-ROW($B$10)),$B$10+ROW()-ROW($B$10),"")</f>
        <v>46055</v>
      </c>
      <c r="C11" s="70">
        <f t="shared" ref="C11:C40" si="3">B11</f>
        <v>46055</v>
      </c>
      <c r="D11" s="71"/>
      <c r="E11" s="62"/>
      <c r="F11" s="63"/>
      <c r="G11" s="64"/>
      <c r="H11" s="63"/>
      <c r="I11" s="72"/>
      <c r="J11" s="73"/>
      <c r="K11" s="67">
        <f t="shared" si="0"/>
        <v>0</v>
      </c>
      <c r="L11" s="68">
        <f t="shared" si="1"/>
        <v>-8.3333333333333329E-2</v>
      </c>
      <c r="M11" s="66">
        <f t="shared" si="2"/>
        <v>0</v>
      </c>
    </row>
    <row r="12" spans="2:13" ht="22.95" customHeight="1">
      <c r="B12" s="69">
        <f t="shared" ref="B12:B39" si="4">IF(MONTH($B$10)=MONTH($B$10+ROW()-ROW($B$10)),$B$10+ROW()-ROW($B$10),"")</f>
        <v>46056</v>
      </c>
      <c r="C12" s="70">
        <f t="shared" si="3"/>
        <v>46056</v>
      </c>
      <c r="D12" s="71"/>
      <c r="E12" s="74"/>
      <c r="F12" s="75"/>
      <c r="G12" s="64"/>
      <c r="H12" s="75"/>
      <c r="I12" s="65"/>
      <c r="J12" s="66"/>
      <c r="K12" s="67">
        <f t="shared" si="0"/>
        <v>0</v>
      </c>
      <c r="L12" s="68">
        <f t="shared" si="1"/>
        <v>-8.3333333333333329E-2</v>
      </c>
      <c r="M12" s="66">
        <f t="shared" si="2"/>
        <v>0</v>
      </c>
    </row>
    <row r="13" spans="2:13" ht="22.95" customHeight="1">
      <c r="B13" s="69">
        <f t="shared" si="4"/>
        <v>46057</v>
      </c>
      <c r="C13" s="70">
        <f t="shared" si="3"/>
        <v>46057</v>
      </c>
      <c r="D13" s="71"/>
      <c r="E13" s="74"/>
      <c r="F13" s="75"/>
      <c r="G13" s="64"/>
      <c r="H13" s="75"/>
      <c r="I13" s="65"/>
      <c r="J13" s="66"/>
      <c r="K13" s="67">
        <f t="shared" si="0"/>
        <v>0</v>
      </c>
      <c r="L13" s="68">
        <f t="shared" si="1"/>
        <v>-8.3333333333333329E-2</v>
      </c>
      <c r="M13" s="66">
        <f t="shared" si="2"/>
        <v>0</v>
      </c>
    </row>
    <row r="14" spans="2:13" ht="22.95" customHeight="1">
      <c r="B14" s="69">
        <f t="shared" si="4"/>
        <v>46058</v>
      </c>
      <c r="C14" s="70">
        <f t="shared" si="3"/>
        <v>46058</v>
      </c>
      <c r="D14" s="71"/>
      <c r="E14" s="74"/>
      <c r="F14" s="75"/>
      <c r="G14" s="64"/>
      <c r="H14" s="75"/>
      <c r="I14" s="65"/>
      <c r="J14" s="66"/>
      <c r="K14" s="67">
        <f t="shared" si="0"/>
        <v>0</v>
      </c>
      <c r="L14" s="68">
        <f t="shared" si="1"/>
        <v>-8.3333333333333329E-2</v>
      </c>
      <c r="M14" s="66">
        <f t="shared" si="2"/>
        <v>0</v>
      </c>
    </row>
    <row r="15" spans="2:13" ht="22.95" customHeight="1">
      <c r="B15" s="69">
        <f t="shared" si="4"/>
        <v>46059</v>
      </c>
      <c r="C15" s="70">
        <f t="shared" si="3"/>
        <v>46059</v>
      </c>
      <c r="D15" s="71"/>
      <c r="E15" s="74"/>
      <c r="F15" s="75"/>
      <c r="G15" s="64"/>
      <c r="H15" s="75"/>
      <c r="I15" s="65"/>
      <c r="J15" s="66"/>
      <c r="K15" s="67">
        <f t="shared" si="0"/>
        <v>0</v>
      </c>
      <c r="L15" s="68">
        <f t="shared" si="1"/>
        <v>-8.3333333333333329E-2</v>
      </c>
      <c r="M15" s="66">
        <f t="shared" si="2"/>
        <v>0</v>
      </c>
    </row>
    <row r="16" spans="2:13" ht="22.95" customHeight="1">
      <c r="B16" s="46">
        <f t="shared" si="4"/>
        <v>46060</v>
      </c>
      <c r="C16" s="47">
        <f t="shared" si="3"/>
        <v>46060</v>
      </c>
      <c r="D16" s="48"/>
      <c r="E16" s="49"/>
      <c r="F16" s="50"/>
      <c r="G16" s="51"/>
      <c r="H16" s="50"/>
      <c r="I16" s="52"/>
      <c r="J16" s="53"/>
      <c r="K16" s="54">
        <f t="shared" si="0"/>
        <v>0</v>
      </c>
      <c r="L16" s="55">
        <f t="shared" si="1"/>
        <v>-8.3333333333333329E-2</v>
      </c>
      <c r="M16" s="53">
        <f t="shared" si="2"/>
        <v>0</v>
      </c>
    </row>
    <row r="17" spans="2:13" ht="22.95" customHeight="1">
      <c r="B17" s="46">
        <f t="shared" si="4"/>
        <v>46061</v>
      </c>
      <c r="C17" s="47">
        <f t="shared" si="3"/>
        <v>46061</v>
      </c>
      <c r="D17" s="48"/>
      <c r="E17" s="49"/>
      <c r="F17" s="50"/>
      <c r="G17" s="51"/>
      <c r="H17" s="50"/>
      <c r="I17" s="52"/>
      <c r="J17" s="53"/>
      <c r="K17" s="54">
        <f t="shared" si="0"/>
        <v>0</v>
      </c>
      <c r="L17" s="55">
        <f t="shared" si="1"/>
        <v>-8.3333333333333329E-2</v>
      </c>
      <c r="M17" s="53">
        <f t="shared" si="2"/>
        <v>0</v>
      </c>
    </row>
    <row r="18" spans="2:13" ht="22.95" customHeight="1">
      <c r="B18" s="69">
        <f t="shared" si="4"/>
        <v>46062</v>
      </c>
      <c r="C18" s="70">
        <f t="shared" si="3"/>
        <v>46062</v>
      </c>
      <c r="D18" s="71"/>
      <c r="E18" s="74"/>
      <c r="F18" s="75"/>
      <c r="G18" s="76"/>
      <c r="H18" s="75"/>
      <c r="I18" s="65"/>
      <c r="J18" s="66"/>
      <c r="K18" s="67">
        <f t="shared" si="0"/>
        <v>0</v>
      </c>
      <c r="L18" s="68">
        <f t="shared" si="1"/>
        <v>-8.3333333333333329E-2</v>
      </c>
      <c r="M18" s="66">
        <f t="shared" si="2"/>
        <v>0</v>
      </c>
    </row>
    <row r="19" spans="2:13" ht="22.95" customHeight="1">
      <c r="B19" s="69">
        <f t="shared" si="4"/>
        <v>46063</v>
      </c>
      <c r="C19" s="70">
        <f t="shared" si="3"/>
        <v>46063</v>
      </c>
      <c r="D19" s="71"/>
      <c r="E19" s="74"/>
      <c r="F19" s="75"/>
      <c r="G19" s="64"/>
      <c r="H19" s="75"/>
      <c r="I19" s="65"/>
      <c r="J19" s="66"/>
      <c r="K19" s="67">
        <f t="shared" si="0"/>
        <v>0</v>
      </c>
      <c r="L19" s="68">
        <f t="shared" si="1"/>
        <v>-8.3333333333333329E-2</v>
      </c>
      <c r="M19" s="66">
        <f t="shared" si="2"/>
        <v>0</v>
      </c>
    </row>
    <row r="20" spans="2:13" ht="22.95" customHeight="1">
      <c r="B20" s="69">
        <f t="shared" si="4"/>
        <v>46064</v>
      </c>
      <c r="C20" s="70">
        <f t="shared" si="3"/>
        <v>46064</v>
      </c>
      <c r="D20" s="71"/>
      <c r="E20" s="74"/>
      <c r="F20" s="75"/>
      <c r="G20" s="64"/>
      <c r="H20" s="75"/>
      <c r="I20" s="65"/>
      <c r="J20" s="66"/>
      <c r="K20" s="67">
        <f t="shared" si="0"/>
        <v>0</v>
      </c>
      <c r="L20" s="68">
        <f t="shared" si="1"/>
        <v>-8.3333333333333329E-2</v>
      </c>
      <c r="M20" s="66">
        <f t="shared" si="2"/>
        <v>0</v>
      </c>
    </row>
    <row r="21" spans="2:13" ht="22.95" customHeight="1">
      <c r="B21" s="69">
        <f t="shared" si="4"/>
        <v>46065</v>
      </c>
      <c r="C21" s="70">
        <f t="shared" si="3"/>
        <v>46065</v>
      </c>
      <c r="D21" s="71"/>
      <c r="E21" s="74"/>
      <c r="F21" s="75"/>
      <c r="G21" s="64"/>
      <c r="H21" s="75"/>
      <c r="I21" s="65"/>
      <c r="J21" s="66"/>
      <c r="K21" s="67">
        <f t="shared" si="0"/>
        <v>0</v>
      </c>
      <c r="L21" s="68">
        <f t="shared" si="1"/>
        <v>-8.3333333333333329E-2</v>
      </c>
      <c r="M21" s="66">
        <f t="shared" si="2"/>
        <v>0</v>
      </c>
    </row>
    <row r="22" spans="2:13" ht="22.95" customHeight="1">
      <c r="B22" s="69">
        <f t="shared" si="4"/>
        <v>46066</v>
      </c>
      <c r="C22" s="70">
        <f t="shared" si="3"/>
        <v>46066</v>
      </c>
      <c r="D22" s="71"/>
      <c r="E22" s="74"/>
      <c r="F22" s="75"/>
      <c r="G22" s="64"/>
      <c r="H22" s="75"/>
      <c r="I22" s="65"/>
      <c r="J22" s="66"/>
      <c r="K22" s="67">
        <f t="shared" si="0"/>
        <v>0</v>
      </c>
      <c r="L22" s="68">
        <f t="shared" si="1"/>
        <v>-8.3333333333333329E-2</v>
      </c>
      <c r="M22" s="66">
        <f t="shared" si="2"/>
        <v>0</v>
      </c>
    </row>
    <row r="23" spans="2:13" ht="22.95" customHeight="1">
      <c r="B23" s="46">
        <f t="shared" si="4"/>
        <v>46067</v>
      </c>
      <c r="C23" s="47">
        <f t="shared" si="3"/>
        <v>46067</v>
      </c>
      <c r="D23" s="48"/>
      <c r="E23" s="49"/>
      <c r="F23" s="50"/>
      <c r="G23" s="51"/>
      <c r="H23" s="50"/>
      <c r="I23" s="52"/>
      <c r="J23" s="53"/>
      <c r="K23" s="54">
        <f t="shared" si="0"/>
        <v>0</v>
      </c>
      <c r="L23" s="55">
        <f t="shared" si="1"/>
        <v>-8.3333333333333329E-2</v>
      </c>
      <c r="M23" s="53">
        <f t="shared" si="2"/>
        <v>0</v>
      </c>
    </row>
    <row r="24" spans="2:13" ht="22.95" customHeight="1">
      <c r="B24" s="46">
        <f t="shared" si="4"/>
        <v>46068</v>
      </c>
      <c r="C24" s="47">
        <f t="shared" si="3"/>
        <v>46068</v>
      </c>
      <c r="D24" s="48"/>
      <c r="E24" s="49"/>
      <c r="F24" s="50"/>
      <c r="G24" s="51"/>
      <c r="H24" s="50"/>
      <c r="I24" s="52"/>
      <c r="J24" s="53"/>
      <c r="K24" s="54">
        <f t="shared" si="0"/>
        <v>0</v>
      </c>
      <c r="L24" s="55">
        <f t="shared" si="1"/>
        <v>-8.3333333333333329E-2</v>
      </c>
      <c r="M24" s="53">
        <f t="shared" si="2"/>
        <v>0</v>
      </c>
    </row>
    <row r="25" spans="2:13" ht="22.95" customHeight="1">
      <c r="B25" s="69">
        <f t="shared" si="4"/>
        <v>46069</v>
      </c>
      <c r="C25" s="70">
        <f t="shared" si="3"/>
        <v>46069</v>
      </c>
      <c r="D25" s="71"/>
      <c r="E25" s="74"/>
      <c r="F25" s="75"/>
      <c r="G25" s="64"/>
      <c r="H25" s="75"/>
      <c r="I25" s="65"/>
      <c r="J25" s="66"/>
      <c r="K25" s="67">
        <f t="shared" si="0"/>
        <v>0</v>
      </c>
      <c r="L25" s="68">
        <f t="shared" si="1"/>
        <v>-8.3333333333333329E-2</v>
      </c>
      <c r="M25" s="66">
        <f t="shared" si="2"/>
        <v>0</v>
      </c>
    </row>
    <row r="26" spans="2:13" ht="22.95" customHeight="1">
      <c r="B26" s="69">
        <f t="shared" si="4"/>
        <v>46070</v>
      </c>
      <c r="C26" s="70">
        <f t="shared" si="3"/>
        <v>46070</v>
      </c>
      <c r="D26" s="71"/>
      <c r="E26" s="74"/>
      <c r="F26" s="75"/>
      <c r="G26" s="64"/>
      <c r="H26" s="75"/>
      <c r="I26" s="65"/>
      <c r="J26" s="66"/>
      <c r="K26" s="67">
        <f t="shared" si="0"/>
        <v>0</v>
      </c>
      <c r="L26" s="68">
        <f t="shared" si="1"/>
        <v>-8.3333333333333329E-2</v>
      </c>
      <c r="M26" s="66">
        <f t="shared" si="2"/>
        <v>0</v>
      </c>
    </row>
    <row r="27" spans="2:13" ht="22.95" customHeight="1">
      <c r="B27" s="69">
        <f t="shared" si="4"/>
        <v>46071</v>
      </c>
      <c r="C27" s="70">
        <f t="shared" si="3"/>
        <v>46071</v>
      </c>
      <c r="D27" s="71"/>
      <c r="E27" s="74"/>
      <c r="F27" s="75"/>
      <c r="G27" s="64"/>
      <c r="H27" s="75"/>
      <c r="I27" s="65"/>
      <c r="J27" s="66"/>
      <c r="K27" s="67">
        <f t="shared" si="0"/>
        <v>0</v>
      </c>
      <c r="L27" s="68">
        <f t="shared" si="1"/>
        <v>-8.3333333333333329E-2</v>
      </c>
      <c r="M27" s="66">
        <f t="shared" si="2"/>
        <v>0</v>
      </c>
    </row>
    <row r="28" spans="2:13" ht="22.95" customHeight="1">
      <c r="B28" s="69">
        <f t="shared" si="4"/>
        <v>46072</v>
      </c>
      <c r="C28" s="70">
        <f t="shared" si="3"/>
        <v>46072</v>
      </c>
      <c r="D28" s="71"/>
      <c r="E28" s="74"/>
      <c r="F28" s="75"/>
      <c r="G28" s="64"/>
      <c r="H28" s="75"/>
      <c r="I28" s="65"/>
      <c r="J28" s="66"/>
      <c r="K28" s="67">
        <f t="shared" si="0"/>
        <v>0</v>
      </c>
      <c r="L28" s="68">
        <f t="shared" si="1"/>
        <v>-8.3333333333333329E-2</v>
      </c>
      <c r="M28" s="66">
        <f t="shared" si="2"/>
        <v>0</v>
      </c>
    </row>
    <row r="29" spans="2:13" ht="22.95" customHeight="1">
      <c r="B29" s="69">
        <f t="shared" si="4"/>
        <v>46073</v>
      </c>
      <c r="C29" s="70">
        <f t="shared" si="3"/>
        <v>46073</v>
      </c>
      <c r="D29" s="71"/>
      <c r="E29" s="74"/>
      <c r="F29" s="75"/>
      <c r="G29" s="64"/>
      <c r="H29" s="75"/>
      <c r="I29" s="65"/>
      <c r="J29" s="66"/>
      <c r="K29" s="67">
        <f t="shared" si="0"/>
        <v>0</v>
      </c>
      <c r="L29" s="68">
        <f t="shared" si="1"/>
        <v>-8.3333333333333329E-2</v>
      </c>
      <c r="M29" s="66">
        <f t="shared" si="2"/>
        <v>0</v>
      </c>
    </row>
    <row r="30" spans="2:13" ht="22.95" customHeight="1">
      <c r="B30" s="69">
        <f t="shared" si="4"/>
        <v>46074</v>
      </c>
      <c r="C30" s="70">
        <f t="shared" si="3"/>
        <v>46074</v>
      </c>
      <c r="D30" s="71"/>
      <c r="E30" s="74"/>
      <c r="F30" s="75"/>
      <c r="G30" s="64"/>
      <c r="H30" s="75"/>
      <c r="I30" s="65"/>
      <c r="J30" s="66"/>
      <c r="K30" s="67">
        <f t="shared" si="0"/>
        <v>0</v>
      </c>
      <c r="L30" s="68">
        <f t="shared" si="1"/>
        <v>-8.3333333333333329E-2</v>
      </c>
      <c r="M30" s="66">
        <f t="shared" si="2"/>
        <v>0</v>
      </c>
    </row>
    <row r="31" spans="2:13" ht="22.95" customHeight="1">
      <c r="B31" s="46">
        <f t="shared" si="4"/>
        <v>46075</v>
      </c>
      <c r="C31" s="47">
        <f t="shared" si="3"/>
        <v>46075</v>
      </c>
      <c r="D31" s="48"/>
      <c r="E31" s="49"/>
      <c r="F31" s="50"/>
      <c r="G31" s="51"/>
      <c r="H31" s="50"/>
      <c r="I31" s="52"/>
      <c r="J31" s="53"/>
      <c r="K31" s="54">
        <f t="shared" si="0"/>
        <v>0</v>
      </c>
      <c r="L31" s="55">
        <f t="shared" si="1"/>
        <v>-8.3333333333333329E-2</v>
      </c>
      <c r="M31" s="53">
        <f t="shared" si="2"/>
        <v>0</v>
      </c>
    </row>
    <row r="32" spans="2:13" ht="22.95" customHeight="1">
      <c r="B32" s="69">
        <f t="shared" si="4"/>
        <v>46076</v>
      </c>
      <c r="C32" s="70">
        <f t="shared" si="3"/>
        <v>46076</v>
      </c>
      <c r="D32" s="71"/>
      <c r="E32" s="74"/>
      <c r="F32" s="75"/>
      <c r="G32" s="64"/>
      <c r="H32" s="75"/>
      <c r="I32" s="65"/>
      <c r="J32" s="66"/>
      <c r="K32" s="67">
        <f t="shared" si="0"/>
        <v>0</v>
      </c>
      <c r="L32" s="68">
        <f t="shared" si="1"/>
        <v>-8.3333333333333329E-2</v>
      </c>
      <c r="M32" s="66">
        <f t="shared" si="2"/>
        <v>0</v>
      </c>
    </row>
    <row r="33" spans="2:13" ht="22.95" customHeight="1">
      <c r="B33" s="69">
        <f t="shared" si="4"/>
        <v>46077</v>
      </c>
      <c r="C33" s="70">
        <f t="shared" si="3"/>
        <v>46077</v>
      </c>
      <c r="D33" s="71"/>
      <c r="E33" s="74"/>
      <c r="F33" s="75"/>
      <c r="G33" s="64"/>
      <c r="H33" s="75"/>
      <c r="I33" s="65"/>
      <c r="J33" s="66"/>
      <c r="K33" s="67">
        <f t="shared" si="0"/>
        <v>0</v>
      </c>
      <c r="L33" s="68">
        <f t="shared" si="1"/>
        <v>-8.3333333333333329E-2</v>
      </c>
      <c r="M33" s="66">
        <f t="shared" si="2"/>
        <v>0</v>
      </c>
    </row>
    <row r="34" spans="2:13" ht="22.95" customHeight="1">
      <c r="B34" s="69">
        <f t="shared" si="4"/>
        <v>46078</v>
      </c>
      <c r="C34" s="70">
        <f t="shared" si="3"/>
        <v>46078</v>
      </c>
      <c r="D34" s="71"/>
      <c r="E34" s="74"/>
      <c r="F34" s="75"/>
      <c r="G34" s="64"/>
      <c r="H34" s="75"/>
      <c r="I34" s="65"/>
      <c r="J34" s="66"/>
      <c r="K34" s="67">
        <f t="shared" si="0"/>
        <v>0</v>
      </c>
      <c r="L34" s="68">
        <f t="shared" si="1"/>
        <v>-8.3333333333333329E-2</v>
      </c>
      <c r="M34" s="66">
        <f t="shared" si="2"/>
        <v>0</v>
      </c>
    </row>
    <row r="35" spans="2:13" ht="22.95" customHeight="1">
      <c r="B35" s="69">
        <f t="shared" si="4"/>
        <v>46079</v>
      </c>
      <c r="C35" s="70">
        <f t="shared" si="3"/>
        <v>46079</v>
      </c>
      <c r="D35" s="71"/>
      <c r="E35" s="74"/>
      <c r="F35" s="75"/>
      <c r="G35" s="64"/>
      <c r="H35" s="75"/>
      <c r="I35" s="65"/>
      <c r="J35" s="66"/>
      <c r="K35" s="67">
        <f t="shared" si="0"/>
        <v>0</v>
      </c>
      <c r="L35" s="68">
        <f t="shared" si="1"/>
        <v>-8.3333333333333329E-2</v>
      </c>
      <c r="M35" s="66">
        <f t="shared" si="2"/>
        <v>0</v>
      </c>
    </row>
    <row r="36" spans="2:13" ht="22.95" customHeight="1">
      <c r="B36" s="69">
        <f t="shared" si="4"/>
        <v>46080</v>
      </c>
      <c r="C36" s="70">
        <f t="shared" si="3"/>
        <v>46080</v>
      </c>
      <c r="D36" s="71"/>
      <c r="E36" s="74"/>
      <c r="F36" s="75"/>
      <c r="G36" s="64"/>
      <c r="H36" s="75"/>
      <c r="I36" s="65"/>
      <c r="J36" s="66"/>
      <c r="K36" s="67">
        <f t="shared" si="0"/>
        <v>0</v>
      </c>
      <c r="L36" s="68">
        <f t="shared" si="1"/>
        <v>-8.3333333333333329E-2</v>
      </c>
      <c r="M36" s="66">
        <f t="shared" si="2"/>
        <v>0</v>
      </c>
    </row>
    <row r="37" spans="2:13" ht="22.95" customHeight="1">
      <c r="B37" s="46">
        <f t="shared" si="4"/>
        <v>46081</v>
      </c>
      <c r="C37" s="47">
        <f t="shared" si="3"/>
        <v>46081</v>
      </c>
      <c r="D37" s="48"/>
      <c r="E37" s="49"/>
      <c r="F37" s="50"/>
      <c r="G37" s="51"/>
      <c r="H37" s="50"/>
      <c r="I37" s="52"/>
      <c r="J37" s="53"/>
      <c r="K37" s="54">
        <f t="shared" si="0"/>
        <v>0</v>
      </c>
      <c r="L37" s="55">
        <f t="shared" si="1"/>
        <v>-8.3333333333333329E-2</v>
      </c>
      <c r="M37" s="53">
        <f t="shared" si="2"/>
        <v>0</v>
      </c>
    </row>
    <row r="38" spans="2:13" ht="22.95" customHeight="1">
      <c r="B38" s="69" t="str">
        <f t="shared" si="4"/>
        <v/>
      </c>
      <c r="C38" s="70" t="str">
        <f t="shared" si="3"/>
        <v/>
      </c>
      <c r="D38" s="71"/>
      <c r="E38" s="74"/>
      <c r="F38" s="75"/>
      <c r="G38" s="64"/>
      <c r="H38" s="75"/>
      <c r="I38" s="65"/>
      <c r="J38" s="66"/>
      <c r="K38" s="67">
        <f t="shared" si="0"/>
        <v>0</v>
      </c>
      <c r="L38" s="68">
        <f t="shared" si="1"/>
        <v>-8.3333333333333329E-2</v>
      </c>
      <c r="M38" s="66">
        <f t="shared" si="2"/>
        <v>0</v>
      </c>
    </row>
    <row r="39" spans="2:13" ht="22.95" customHeight="1">
      <c r="B39" s="69" t="str">
        <f t="shared" si="4"/>
        <v/>
      </c>
      <c r="C39" s="70" t="str">
        <f t="shared" si="3"/>
        <v/>
      </c>
      <c r="D39" s="71"/>
      <c r="E39" s="74"/>
      <c r="F39" s="75"/>
      <c r="G39" s="64"/>
      <c r="H39" s="75"/>
      <c r="I39" s="65"/>
      <c r="J39" s="66"/>
      <c r="K39" s="67">
        <f t="shared" si="0"/>
        <v>0</v>
      </c>
      <c r="L39" s="68">
        <f t="shared" si="1"/>
        <v>-8.3333333333333329E-2</v>
      </c>
      <c r="M39" s="66">
        <f t="shared" si="2"/>
        <v>0</v>
      </c>
    </row>
    <row r="40" spans="2:13" ht="22.95" customHeight="1">
      <c r="B40" s="77" t="str">
        <f>IF(MONTH($B$10)=MONTH($B$10+ROW()-ROW($B$10)),$B$10+ROW()-ROW($B$10),"")</f>
        <v/>
      </c>
      <c r="C40" s="78" t="str">
        <f t="shared" si="3"/>
        <v/>
      </c>
      <c r="D40" s="79"/>
      <c r="E40" s="74"/>
      <c r="F40" s="75"/>
      <c r="G40" s="64"/>
      <c r="H40" s="75"/>
      <c r="I40" s="65"/>
      <c r="J40" s="80"/>
      <c r="K40" s="67">
        <f t="shared" si="0"/>
        <v>0</v>
      </c>
      <c r="L40" s="68">
        <f t="shared" si="1"/>
        <v>-8.3333333333333329E-2</v>
      </c>
      <c r="M40" s="66">
        <f t="shared" si="2"/>
        <v>0</v>
      </c>
    </row>
    <row r="41" spans="2:13" ht="22.95" customHeight="1">
      <c r="B41" s="88" t="s">
        <v>24</v>
      </c>
      <c r="C41" s="89"/>
      <c r="D41" s="89"/>
      <c r="E41" s="89"/>
      <c r="F41" s="89"/>
      <c r="G41" s="89"/>
      <c r="H41" s="89"/>
      <c r="I41" s="89"/>
      <c r="J41" s="89"/>
      <c r="K41" s="81">
        <f>SUMIF(K10:K40,"&gt;0")</f>
        <v>0</v>
      </c>
      <c r="L41" s="82">
        <f>SUMIF(L10:L40,"&gt;0")</f>
        <v>0</v>
      </c>
      <c r="M41" s="83">
        <f>SUMIF(M10:M40,"&gt;0")</f>
        <v>0</v>
      </c>
    </row>
    <row r="43" spans="2:13" ht="20.100000000000001" customHeight="1">
      <c r="G43" s="15" t="s">
        <v>25</v>
      </c>
      <c r="H43" s="16">
        <f>COUNTIF(D10:D40,"出勤")</f>
        <v>0</v>
      </c>
      <c r="I43" s="29"/>
      <c r="J43" s="5"/>
      <c r="L43" s="30"/>
    </row>
    <row r="44" spans="2:13" ht="20.100000000000001" customHeight="1">
      <c r="G44" s="17" t="s">
        <v>26</v>
      </c>
      <c r="H44" s="16">
        <f>COUNTIF(D10:D40,"欠勤")</f>
        <v>0</v>
      </c>
      <c r="I44" s="29"/>
      <c r="J44" s="5"/>
      <c r="L44" s="30"/>
    </row>
    <row r="45" spans="2:13" ht="20.100000000000001" customHeight="1">
      <c r="G45" s="15" t="s">
        <v>27</v>
      </c>
      <c r="H45" s="16">
        <f>COUNTIF(D10:D40,"有給")</f>
        <v>0</v>
      </c>
      <c r="I45" s="29"/>
      <c r="J45" s="5"/>
    </row>
  </sheetData>
  <mergeCells count="3">
    <mergeCell ref="B3:C3"/>
    <mergeCell ref="B9:C9"/>
    <mergeCell ref="B41:J41"/>
  </mergeCells>
  <phoneticPr fontId="1"/>
  <conditionalFormatting sqref="B10:D40">
    <cfRule type="expression" dxfId="9" priority="1">
      <formula>WEEKDAY(B10)=7</formula>
    </cfRule>
    <cfRule type="expression" dxfId="8" priority="2">
      <formula>WEEKDAY(B10)=1</formula>
    </cfRule>
  </conditionalFormatting>
  <dataValidations count="1">
    <dataValidation type="list" allowBlank="1" showInputMessage="1" showErrorMessage="1" sqref="D10:D40" xr:uid="{B2581E32-D2AE-43A0-B47F-9145938A218F}">
      <formula1>"出勤,欠勤,休日,有給"</formula1>
    </dataValidation>
  </dataValidation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7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4B3A-BE61-4F62-B334-66469A649A77}">
  <sheetPr>
    <pageSetUpPr fitToPage="1"/>
  </sheetPr>
  <dimension ref="B1:O55"/>
  <sheetViews>
    <sheetView showGridLines="0" topLeftCell="A5" zoomScale="115" zoomScaleNormal="115" workbookViewId="0">
      <selection activeCell="F35" sqref="F35"/>
    </sheetView>
  </sheetViews>
  <sheetFormatPr defaultColWidth="8.6640625" defaultRowHeight="13.2"/>
  <cols>
    <col min="1" max="1" width="2.6640625" customWidth="1"/>
    <col min="2" max="3" width="6.109375" customWidth="1"/>
    <col min="4" max="4" width="5.6640625" style="5" customWidth="1"/>
    <col min="5" max="6" width="17.6640625" customWidth="1"/>
    <col min="7" max="8" width="17.6640625" style="5" customWidth="1"/>
    <col min="9" max="10" width="17.6640625" customWidth="1"/>
    <col min="11" max="11" width="9.44140625" customWidth="1"/>
    <col min="12" max="12" width="9.44140625" style="5" customWidth="1"/>
    <col min="13" max="13" width="9.44140625" customWidth="1"/>
  </cols>
  <sheetData>
    <row r="1" spans="2:13" ht="31.95" customHeight="1">
      <c r="B1" s="34"/>
    </row>
    <row r="2" spans="2:13" ht="31.95" customHeight="1">
      <c r="B2" s="33"/>
    </row>
    <row r="3" spans="2:13" s="18" customFormat="1" ht="30.75" customHeight="1" thickBot="1">
      <c r="B3" s="85">
        <v>2026</v>
      </c>
      <c r="C3" s="85"/>
      <c r="D3" s="19" t="s">
        <v>4</v>
      </c>
      <c r="E3" s="19">
        <v>2</v>
      </c>
      <c r="F3" s="19" t="s">
        <v>5</v>
      </c>
      <c r="G3" s="42"/>
      <c r="H3" s="20"/>
      <c r="I3" s="21">
        <f>DATE(B3,E3,1)</f>
        <v>46054</v>
      </c>
      <c r="L3" s="20"/>
    </row>
    <row r="4" spans="2:13" s="1" customFormat="1" ht="23.1" customHeight="1" thickBot="1">
      <c r="B4" s="11"/>
      <c r="C4" s="11"/>
      <c r="D4" s="11"/>
      <c r="E4" s="11"/>
      <c r="F4" s="11"/>
      <c r="G4" s="7"/>
      <c r="H4" s="6"/>
      <c r="I4" s="27" t="s">
        <v>6</v>
      </c>
      <c r="J4" s="28" t="s">
        <v>30</v>
      </c>
      <c r="K4" s="23"/>
      <c r="L4" s="24"/>
    </row>
    <row r="5" spans="2:13" s="1" customFormat="1" ht="10.5" customHeight="1">
      <c r="B5" s="11"/>
      <c r="C5" s="11"/>
      <c r="D5" s="11"/>
      <c r="E5" s="11"/>
      <c r="F5" s="11"/>
      <c r="G5" s="7"/>
      <c r="H5" s="6"/>
      <c r="I5" s="22"/>
      <c r="J5" s="23"/>
      <c r="K5" s="23"/>
      <c r="L5" s="24"/>
    </row>
    <row r="6" spans="2:13" s="1" customFormat="1" ht="20.100000000000001" customHeight="1" thickBot="1">
      <c r="B6" s="2"/>
      <c r="C6" s="2"/>
      <c r="D6" s="4"/>
      <c r="E6" s="2"/>
      <c r="F6" s="2"/>
      <c r="G6" s="12" t="s">
        <v>7</v>
      </c>
      <c r="H6" s="13" t="s">
        <v>8</v>
      </c>
      <c r="I6" s="13" t="s">
        <v>9</v>
      </c>
      <c r="J6" s="8" t="s">
        <v>10</v>
      </c>
      <c r="K6" s="13"/>
      <c r="L6" s="8"/>
    </row>
    <row r="7" spans="2:13" s="10" customFormat="1" ht="20.100000000000001" customHeight="1" thickBot="1">
      <c r="C7" s="45"/>
      <c r="D7" s="10" t="s">
        <v>51</v>
      </c>
      <c r="E7" s="8"/>
      <c r="G7" s="14">
        <v>0.33333333333333331</v>
      </c>
      <c r="H7" s="14">
        <v>0.75</v>
      </c>
      <c r="I7" s="14">
        <v>8.3333333333333329E-2</v>
      </c>
      <c r="J7" s="14">
        <v>0.33333333333333331</v>
      </c>
      <c r="K7" s="26"/>
      <c r="L7" s="26"/>
      <c r="M7" s="9"/>
    </row>
    <row r="8" spans="2:13" ht="13.8" thickBot="1">
      <c r="B8" s="2"/>
      <c r="C8" s="2"/>
      <c r="D8" s="4"/>
      <c r="E8" s="2"/>
      <c r="F8" s="2"/>
      <c r="G8" s="4"/>
      <c r="H8" s="4"/>
      <c r="I8" s="2"/>
    </row>
    <row r="9" spans="2:13" ht="22.95" customHeight="1">
      <c r="B9" s="86" t="s">
        <v>12</v>
      </c>
      <c r="C9" s="87"/>
      <c r="D9" s="3" t="s">
        <v>13</v>
      </c>
      <c r="E9" s="38" t="s">
        <v>14</v>
      </c>
      <c r="F9" s="39" t="s">
        <v>15</v>
      </c>
      <c r="G9" s="40" t="s">
        <v>16</v>
      </c>
      <c r="H9" s="40" t="s">
        <v>17</v>
      </c>
      <c r="I9" s="39" t="s">
        <v>18</v>
      </c>
      <c r="J9" s="41" t="s">
        <v>19</v>
      </c>
      <c r="K9" s="25" t="s">
        <v>20</v>
      </c>
      <c r="L9" s="31" t="s">
        <v>21</v>
      </c>
      <c r="M9" s="32" t="s">
        <v>22</v>
      </c>
    </row>
    <row r="10" spans="2:13" ht="22.95" customHeight="1">
      <c r="B10" s="57">
        <f>DATE($B$3, $E$3, 1)</f>
        <v>46054</v>
      </c>
      <c r="C10" s="58">
        <f>B10</f>
        <v>46054</v>
      </c>
      <c r="D10" s="59"/>
      <c r="E10" s="60"/>
      <c r="F10" s="61"/>
      <c r="G10" s="51"/>
      <c r="H10" s="61"/>
      <c r="I10" s="52"/>
      <c r="J10" s="53"/>
      <c r="K10" s="54">
        <f>F10-E10+J10-H10</f>
        <v>0</v>
      </c>
      <c r="L10" s="55">
        <f t="shared" ref="L10:L40" si="0">IF(OR(H10=":",H10=":"),":",H10-G10-TIMEVALUE("2:00"))</f>
        <v>-8.3333333333333329E-2</v>
      </c>
      <c r="M10" s="53">
        <f t="shared" ref="M10:M40" si="1">IF(K10+L10-"8:00"&lt;0,0,K10+L10-"8:00")</f>
        <v>0</v>
      </c>
    </row>
    <row r="11" spans="2:13" ht="22.95" customHeight="1">
      <c r="B11" s="69">
        <f>IF(MONTH($B$10)=MONTH($B$10+ROW()-ROW($B$10)),$B$10+ROW()-ROW($B$10),"")</f>
        <v>46055</v>
      </c>
      <c r="C11" s="70">
        <f t="shared" ref="C11:C40" si="2">B11</f>
        <v>46055</v>
      </c>
      <c r="D11" s="71"/>
      <c r="E11" s="62"/>
      <c r="F11" s="63"/>
      <c r="G11" s="64"/>
      <c r="H11" s="63"/>
      <c r="I11" s="72"/>
      <c r="J11" s="73"/>
      <c r="K11" s="67">
        <f t="shared" ref="K11:K40" si="3">F11-E11+J11-H11</f>
        <v>0</v>
      </c>
      <c r="L11" s="68">
        <f t="shared" si="0"/>
        <v>-8.3333333333333329E-2</v>
      </c>
      <c r="M11" s="66">
        <f t="shared" si="1"/>
        <v>0</v>
      </c>
    </row>
    <row r="12" spans="2:13" ht="22.95" customHeight="1">
      <c r="B12" s="69">
        <f t="shared" ref="B12:B39" si="4">IF(MONTH($B$10)=MONTH($B$10+ROW()-ROW($B$10)),$B$10+ROW()-ROW($B$10),"")</f>
        <v>46056</v>
      </c>
      <c r="C12" s="70">
        <f t="shared" si="2"/>
        <v>46056</v>
      </c>
      <c r="D12" s="71"/>
      <c r="E12" s="74"/>
      <c r="F12" s="75"/>
      <c r="G12" s="64"/>
      <c r="H12" s="75"/>
      <c r="I12" s="65"/>
      <c r="J12" s="66"/>
      <c r="K12" s="67">
        <f t="shared" si="3"/>
        <v>0</v>
      </c>
      <c r="L12" s="68">
        <f t="shared" si="0"/>
        <v>-8.3333333333333329E-2</v>
      </c>
      <c r="M12" s="66">
        <f t="shared" si="1"/>
        <v>0</v>
      </c>
    </row>
    <row r="13" spans="2:13" ht="22.95" customHeight="1">
      <c r="B13" s="69">
        <f t="shared" si="4"/>
        <v>46057</v>
      </c>
      <c r="C13" s="70">
        <f t="shared" si="2"/>
        <v>46057</v>
      </c>
      <c r="D13" s="71"/>
      <c r="E13" s="74"/>
      <c r="F13" s="75"/>
      <c r="G13" s="64"/>
      <c r="H13" s="75"/>
      <c r="I13" s="65"/>
      <c r="J13" s="66"/>
      <c r="K13" s="67">
        <f t="shared" si="3"/>
        <v>0</v>
      </c>
      <c r="L13" s="68">
        <f t="shared" si="0"/>
        <v>-8.3333333333333329E-2</v>
      </c>
      <c r="M13" s="66">
        <f t="shared" si="1"/>
        <v>0</v>
      </c>
    </row>
    <row r="14" spans="2:13" ht="22.95" customHeight="1">
      <c r="B14" s="69">
        <f t="shared" si="4"/>
        <v>46058</v>
      </c>
      <c r="C14" s="70">
        <f t="shared" si="2"/>
        <v>46058</v>
      </c>
      <c r="D14" s="71"/>
      <c r="E14" s="74"/>
      <c r="F14" s="75"/>
      <c r="G14" s="64"/>
      <c r="H14" s="75"/>
      <c r="I14" s="65"/>
      <c r="J14" s="66"/>
      <c r="K14" s="67">
        <f t="shared" si="3"/>
        <v>0</v>
      </c>
      <c r="L14" s="68">
        <f t="shared" si="0"/>
        <v>-8.3333333333333329E-2</v>
      </c>
      <c r="M14" s="66">
        <f t="shared" si="1"/>
        <v>0</v>
      </c>
    </row>
    <row r="15" spans="2:13" ht="22.95" customHeight="1">
      <c r="B15" s="69">
        <f t="shared" si="4"/>
        <v>46059</v>
      </c>
      <c r="C15" s="70">
        <f t="shared" si="2"/>
        <v>46059</v>
      </c>
      <c r="D15" s="71"/>
      <c r="E15" s="74"/>
      <c r="F15" s="75"/>
      <c r="G15" s="64"/>
      <c r="H15" s="75"/>
      <c r="I15" s="65"/>
      <c r="J15" s="66"/>
      <c r="K15" s="67">
        <f t="shared" si="3"/>
        <v>0</v>
      </c>
      <c r="L15" s="68">
        <f t="shared" si="0"/>
        <v>-8.3333333333333329E-2</v>
      </c>
      <c r="M15" s="66">
        <f t="shared" si="1"/>
        <v>0</v>
      </c>
    </row>
    <row r="16" spans="2:13" ht="22.95" customHeight="1">
      <c r="B16" s="46">
        <f t="shared" si="4"/>
        <v>46060</v>
      </c>
      <c r="C16" s="47">
        <f t="shared" si="2"/>
        <v>46060</v>
      </c>
      <c r="D16" s="48"/>
      <c r="E16" s="49"/>
      <c r="F16" s="50"/>
      <c r="G16" s="51"/>
      <c r="H16" s="50"/>
      <c r="I16" s="52"/>
      <c r="J16" s="53"/>
      <c r="K16" s="54">
        <f t="shared" si="3"/>
        <v>0</v>
      </c>
      <c r="L16" s="55">
        <f t="shared" si="0"/>
        <v>-8.3333333333333329E-2</v>
      </c>
      <c r="M16" s="53">
        <f t="shared" si="1"/>
        <v>0</v>
      </c>
    </row>
    <row r="17" spans="2:13" ht="22.95" customHeight="1">
      <c r="B17" s="46">
        <f t="shared" si="4"/>
        <v>46061</v>
      </c>
      <c r="C17" s="47">
        <f t="shared" si="2"/>
        <v>46061</v>
      </c>
      <c r="D17" s="48"/>
      <c r="E17" s="49"/>
      <c r="F17" s="50"/>
      <c r="G17" s="51"/>
      <c r="H17" s="50"/>
      <c r="I17" s="52"/>
      <c r="J17" s="53"/>
      <c r="K17" s="54">
        <f t="shared" si="3"/>
        <v>0</v>
      </c>
      <c r="L17" s="55">
        <f t="shared" si="0"/>
        <v>-8.3333333333333329E-2</v>
      </c>
      <c r="M17" s="53">
        <f t="shared" si="1"/>
        <v>0</v>
      </c>
    </row>
    <row r="18" spans="2:13" ht="22.95" customHeight="1">
      <c r="B18" s="69">
        <f t="shared" si="4"/>
        <v>46062</v>
      </c>
      <c r="C18" s="70">
        <f t="shared" si="2"/>
        <v>46062</v>
      </c>
      <c r="D18" s="71"/>
      <c r="E18" s="74"/>
      <c r="F18" s="75"/>
      <c r="G18" s="76"/>
      <c r="H18" s="75"/>
      <c r="I18" s="65"/>
      <c r="J18" s="66"/>
      <c r="K18" s="67">
        <f t="shared" si="3"/>
        <v>0</v>
      </c>
      <c r="L18" s="68">
        <f t="shared" si="0"/>
        <v>-8.3333333333333329E-2</v>
      </c>
      <c r="M18" s="66">
        <f t="shared" si="1"/>
        <v>0</v>
      </c>
    </row>
    <row r="19" spans="2:13" ht="22.95" customHeight="1">
      <c r="B19" s="69">
        <f t="shared" si="4"/>
        <v>46063</v>
      </c>
      <c r="C19" s="70">
        <f t="shared" si="2"/>
        <v>46063</v>
      </c>
      <c r="D19" s="71"/>
      <c r="E19" s="74"/>
      <c r="F19" s="75"/>
      <c r="G19" s="64"/>
      <c r="H19" s="75"/>
      <c r="I19" s="65"/>
      <c r="J19" s="66"/>
      <c r="K19" s="67">
        <f t="shared" si="3"/>
        <v>0</v>
      </c>
      <c r="L19" s="68">
        <f t="shared" si="0"/>
        <v>-8.3333333333333329E-2</v>
      </c>
      <c r="M19" s="66">
        <f t="shared" si="1"/>
        <v>0</v>
      </c>
    </row>
    <row r="20" spans="2:13" ht="22.95" customHeight="1">
      <c r="B20" s="69">
        <f t="shared" si="4"/>
        <v>46064</v>
      </c>
      <c r="C20" s="70">
        <f t="shared" si="2"/>
        <v>46064</v>
      </c>
      <c r="D20" s="71"/>
      <c r="E20" s="74"/>
      <c r="F20" s="75"/>
      <c r="G20" s="64"/>
      <c r="H20" s="75"/>
      <c r="I20" s="65"/>
      <c r="J20" s="66"/>
      <c r="K20" s="67">
        <f t="shared" si="3"/>
        <v>0</v>
      </c>
      <c r="L20" s="68">
        <f t="shared" si="0"/>
        <v>-8.3333333333333329E-2</v>
      </c>
      <c r="M20" s="66">
        <f t="shared" si="1"/>
        <v>0</v>
      </c>
    </row>
    <row r="21" spans="2:13" ht="22.95" customHeight="1">
      <c r="B21" s="69">
        <f t="shared" si="4"/>
        <v>46065</v>
      </c>
      <c r="C21" s="70">
        <f t="shared" si="2"/>
        <v>46065</v>
      </c>
      <c r="D21" s="71"/>
      <c r="E21" s="74"/>
      <c r="F21" s="75"/>
      <c r="G21" s="64"/>
      <c r="H21" s="75"/>
      <c r="I21" s="65"/>
      <c r="J21" s="66"/>
      <c r="K21" s="67">
        <f t="shared" si="3"/>
        <v>0</v>
      </c>
      <c r="L21" s="68">
        <f t="shared" si="0"/>
        <v>-8.3333333333333329E-2</v>
      </c>
      <c r="M21" s="66">
        <f t="shared" si="1"/>
        <v>0</v>
      </c>
    </row>
    <row r="22" spans="2:13" ht="22.95" customHeight="1">
      <c r="B22" s="69">
        <f t="shared" si="4"/>
        <v>46066</v>
      </c>
      <c r="C22" s="70">
        <f t="shared" si="2"/>
        <v>46066</v>
      </c>
      <c r="D22" s="71"/>
      <c r="E22" s="74"/>
      <c r="F22" s="75"/>
      <c r="G22" s="64"/>
      <c r="H22" s="75"/>
      <c r="I22" s="65"/>
      <c r="J22" s="66"/>
      <c r="K22" s="67">
        <f t="shared" si="3"/>
        <v>0</v>
      </c>
      <c r="L22" s="68">
        <f t="shared" si="0"/>
        <v>-8.3333333333333329E-2</v>
      </c>
      <c r="M22" s="66">
        <f t="shared" si="1"/>
        <v>0</v>
      </c>
    </row>
    <row r="23" spans="2:13" ht="22.95" customHeight="1">
      <c r="B23" s="46">
        <f t="shared" si="4"/>
        <v>46067</v>
      </c>
      <c r="C23" s="47">
        <f t="shared" si="2"/>
        <v>46067</v>
      </c>
      <c r="D23" s="48"/>
      <c r="E23" s="49"/>
      <c r="F23" s="50"/>
      <c r="G23" s="51"/>
      <c r="H23" s="50"/>
      <c r="I23" s="52"/>
      <c r="J23" s="53"/>
      <c r="K23" s="54">
        <f t="shared" si="3"/>
        <v>0</v>
      </c>
      <c r="L23" s="55">
        <f t="shared" si="0"/>
        <v>-8.3333333333333329E-2</v>
      </c>
      <c r="M23" s="53">
        <f t="shared" si="1"/>
        <v>0</v>
      </c>
    </row>
    <row r="24" spans="2:13" ht="22.95" customHeight="1">
      <c r="B24" s="46">
        <f t="shared" si="4"/>
        <v>46068</v>
      </c>
      <c r="C24" s="47">
        <f t="shared" si="2"/>
        <v>46068</v>
      </c>
      <c r="D24" s="48"/>
      <c r="E24" s="49"/>
      <c r="F24" s="50"/>
      <c r="G24" s="51"/>
      <c r="H24" s="50"/>
      <c r="I24" s="52"/>
      <c r="J24" s="53"/>
      <c r="K24" s="54">
        <f t="shared" si="3"/>
        <v>0</v>
      </c>
      <c r="L24" s="55">
        <f t="shared" si="0"/>
        <v>-8.3333333333333329E-2</v>
      </c>
      <c r="M24" s="53">
        <f t="shared" si="1"/>
        <v>0</v>
      </c>
    </row>
    <row r="25" spans="2:13" ht="22.95" customHeight="1">
      <c r="B25" s="69">
        <f t="shared" si="4"/>
        <v>46069</v>
      </c>
      <c r="C25" s="70">
        <f t="shared" si="2"/>
        <v>46069</v>
      </c>
      <c r="D25" s="71"/>
      <c r="E25" s="74"/>
      <c r="F25" s="75"/>
      <c r="G25" s="64"/>
      <c r="H25" s="75"/>
      <c r="I25" s="65"/>
      <c r="J25" s="66"/>
      <c r="K25" s="67">
        <f t="shared" si="3"/>
        <v>0</v>
      </c>
      <c r="L25" s="68">
        <f t="shared" si="0"/>
        <v>-8.3333333333333329E-2</v>
      </c>
      <c r="M25" s="66">
        <f t="shared" si="1"/>
        <v>0</v>
      </c>
    </row>
    <row r="26" spans="2:13" ht="22.95" customHeight="1">
      <c r="B26" s="69">
        <f t="shared" si="4"/>
        <v>46070</v>
      </c>
      <c r="C26" s="70">
        <f t="shared" si="2"/>
        <v>46070</v>
      </c>
      <c r="D26" s="71"/>
      <c r="E26" s="74"/>
      <c r="F26" s="75"/>
      <c r="G26" s="64"/>
      <c r="H26" s="75"/>
      <c r="I26" s="65"/>
      <c r="J26" s="66"/>
      <c r="K26" s="67">
        <f t="shared" si="3"/>
        <v>0</v>
      </c>
      <c r="L26" s="68">
        <f t="shared" si="0"/>
        <v>-8.3333333333333329E-2</v>
      </c>
      <c r="M26" s="66">
        <f t="shared" si="1"/>
        <v>0</v>
      </c>
    </row>
    <row r="27" spans="2:13" ht="22.95" customHeight="1">
      <c r="B27" s="69">
        <f t="shared" si="4"/>
        <v>46071</v>
      </c>
      <c r="C27" s="70">
        <f t="shared" si="2"/>
        <v>46071</v>
      </c>
      <c r="D27" s="71"/>
      <c r="E27" s="74"/>
      <c r="F27" s="75"/>
      <c r="G27" s="64"/>
      <c r="H27" s="75"/>
      <c r="I27" s="65"/>
      <c r="J27" s="66"/>
      <c r="K27" s="67">
        <f t="shared" si="3"/>
        <v>0</v>
      </c>
      <c r="L27" s="68">
        <f t="shared" si="0"/>
        <v>-8.3333333333333329E-2</v>
      </c>
      <c r="M27" s="66">
        <f t="shared" si="1"/>
        <v>0</v>
      </c>
    </row>
    <row r="28" spans="2:13" ht="22.95" customHeight="1">
      <c r="B28" s="69">
        <f t="shared" si="4"/>
        <v>46072</v>
      </c>
      <c r="C28" s="70">
        <f t="shared" si="2"/>
        <v>46072</v>
      </c>
      <c r="D28" s="71"/>
      <c r="E28" s="74"/>
      <c r="F28" s="75"/>
      <c r="G28" s="64"/>
      <c r="H28" s="75"/>
      <c r="I28" s="65"/>
      <c r="J28" s="66"/>
      <c r="K28" s="67">
        <f t="shared" si="3"/>
        <v>0</v>
      </c>
      <c r="L28" s="68">
        <f t="shared" si="0"/>
        <v>-8.3333333333333329E-2</v>
      </c>
      <c r="M28" s="66">
        <f t="shared" si="1"/>
        <v>0</v>
      </c>
    </row>
    <row r="29" spans="2:13" ht="22.95" customHeight="1">
      <c r="B29" s="69">
        <f t="shared" si="4"/>
        <v>46073</v>
      </c>
      <c r="C29" s="70">
        <f t="shared" si="2"/>
        <v>46073</v>
      </c>
      <c r="D29" s="71"/>
      <c r="E29" s="74"/>
      <c r="F29" s="75"/>
      <c r="G29" s="64"/>
      <c r="H29" s="75"/>
      <c r="I29" s="65"/>
      <c r="J29" s="66"/>
      <c r="K29" s="67">
        <f t="shared" si="3"/>
        <v>0</v>
      </c>
      <c r="L29" s="68">
        <f t="shared" si="0"/>
        <v>-8.3333333333333329E-2</v>
      </c>
      <c r="M29" s="66">
        <f t="shared" si="1"/>
        <v>0</v>
      </c>
    </row>
    <row r="30" spans="2:13" ht="22.95" customHeight="1">
      <c r="B30" s="69">
        <f t="shared" si="4"/>
        <v>46074</v>
      </c>
      <c r="C30" s="70">
        <f t="shared" si="2"/>
        <v>46074</v>
      </c>
      <c r="D30" s="71"/>
      <c r="E30" s="74"/>
      <c r="F30" s="75"/>
      <c r="G30" s="64"/>
      <c r="H30" s="75"/>
      <c r="I30" s="65"/>
      <c r="J30" s="66"/>
      <c r="K30" s="67">
        <f t="shared" si="3"/>
        <v>0</v>
      </c>
      <c r="L30" s="68">
        <f t="shared" si="0"/>
        <v>-8.3333333333333329E-2</v>
      </c>
      <c r="M30" s="66">
        <f t="shared" si="1"/>
        <v>0</v>
      </c>
    </row>
    <row r="31" spans="2:13" ht="22.95" customHeight="1">
      <c r="B31" s="46">
        <f t="shared" si="4"/>
        <v>46075</v>
      </c>
      <c r="C31" s="47">
        <f t="shared" si="2"/>
        <v>46075</v>
      </c>
      <c r="D31" s="48"/>
      <c r="E31" s="49"/>
      <c r="F31" s="50"/>
      <c r="G31" s="51"/>
      <c r="H31" s="50"/>
      <c r="I31" s="52"/>
      <c r="J31" s="53"/>
      <c r="K31" s="54">
        <f t="shared" si="3"/>
        <v>0</v>
      </c>
      <c r="L31" s="55">
        <f t="shared" si="0"/>
        <v>-8.3333333333333329E-2</v>
      </c>
      <c r="M31" s="53">
        <f t="shared" si="1"/>
        <v>0</v>
      </c>
    </row>
    <row r="32" spans="2:13" ht="22.95" customHeight="1">
      <c r="B32" s="69">
        <f t="shared" si="4"/>
        <v>46076</v>
      </c>
      <c r="C32" s="70">
        <f t="shared" si="2"/>
        <v>46076</v>
      </c>
      <c r="D32" s="71"/>
      <c r="E32" s="74"/>
      <c r="F32" s="75"/>
      <c r="G32" s="64"/>
      <c r="H32" s="75"/>
      <c r="I32" s="65"/>
      <c r="J32" s="66"/>
      <c r="K32" s="67">
        <f t="shared" si="3"/>
        <v>0</v>
      </c>
      <c r="L32" s="68">
        <f t="shared" si="0"/>
        <v>-8.3333333333333329E-2</v>
      </c>
      <c r="M32" s="66">
        <f t="shared" si="1"/>
        <v>0</v>
      </c>
    </row>
    <row r="33" spans="2:15" ht="22.95" customHeight="1">
      <c r="B33" s="69">
        <f t="shared" si="4"/>
        <v>46077</v>
      </c>
      <c r="C33" s="70">
        <f t="shared" si="2"/>
        <v>46077</v>
      </c>
      <c r="D33" s="71"/>
      <c r="E33" s="74"/>
      <c r="F33" s="75"/>
      <c r="G33" s="64"/>
      <c r="H33" s="75"/>
      <c r="I33" s="65"/>
      <c r="J33" s="66"/>
      <c r="K33" s="67">
        <f t="shared" si="3"/>
        <v>0</v>
      </c>
      <c r="L33" s="68">
        <f t="shared" si="0"/>
        <v>-8.3333333333333329E-2</v>
      </c>
      <c r="M33" s="66">
        <f t="shared" si="1"/>
        <v>0</v>
      </c>
    </row>
    <row r="34" spans="2:15" ht="22.95" customHeight="1">
      <c r="B34" s="69">
        <f t="shared" si="4"/>
        <v>46078</v>
      </c>
      <c r="C34" s="70">
        <f t="shared" si="2"/>
        <v>46078</v>
      </c>
      <c r="D34" s="71"/>
      <c r="E34" s="74"/>
      <c r="F34" s="75"/>
      <c r="G34" s="64"/>
      <c r="H34" s="75"/>
      <c r="I34" s="65"/>
      <c r="J34" s="66"/>
      <c r="K34" s="67">
        <f t="shared" si="3"/>
        <v>0</v>
      </c>
      <c r="L34" s="68">
        <f t="shared" si="0"/>
        <v>-8.3333333333333329E-2</v>
      </c>
      <c r="M34" s="66">
        <f t="shared" si="1"/>
        <v>0</v>
      </c>
    </row>
    <row r="35" spans="2:15" ht="22.95" customHeight="1">
      <c r="B35" s="69">
        <f t="shared" si="4"/>
        <v>46079</v>
      </c>
      <c r="C35" s="70">
        <f t="shared" si="2"/>
        <v>46079</v>
      </c>
      <c r="D35" s="71"/>
      <c r="E35" s="74"/>
      <c r="F35" s="75"/>
      <c r="G35" s="64"/>
      <c r="H35" s="75"/>
      <c r="I35" s="65"/>
      <c r="J35" s="66"/>
      <c r="K35" s="67">
        <f t="shared" si="3"/>
        <v>0</v>
      </c>
      <c r="L35" s="68">
        <f t="shared" si="0"/>
        <v>-8.3333333333333329E-2</v>
      </c>
      <c r="M35" s="66">
        <f t="shared" si="1"/>
        <v>0</v>
      </c>
    </row>
    <row r="36" spans="2:15" ht="22.95" customHeight="1">
      <c r="B36" s="69">
        <f t="shared" si="4"/>
        <v>46080</v>
      </c>
      <c r="C36" s="70">
        <f t="shared" si="2"/>
        <v>46080</v>
      </c>
      <c r="D36" s="71"/>
      <c r="E36" s="74"/>
      <c r="F36" s="75"/>
      <c r="G36" s="64"/>
      <c r="H36" s="75"/>
      <c r="I36" s="65"/>
      <c r="J36" s="66"/>
      <c r="K36" s="67">
        <f t="shared" si="3"/>
        <v>0</v>
      </c>
      <c r="L36" s="68">
        <f t="shared" si="0"/>
        <v>-8.3333333333333329E-2</v>
      </c>
      <c r="M36" s="66">
        <f t="shared" si="1"/>
        <v>0</v>
      </c>
    </row>
    <row r="37" spans="2:15" ht="22.95" customHeight="1">
      <c r="B37" s="46">
        <f t="shared" si="4"/>
        <v>46081</v>
      </c>
      <c r="C37" s="47">
        <f t="shared" si="2"/>
        <v>46081</v>
      </c>
      <c r="D37" s="48"/>
      <c r="E37" s="49"/>
      <c r="F37" s="50"/>
      <c r="G37" s="51"/>
      <c r="H37" s="50"/>
      <c r="I37" s="52"/>
      <c r="J37" s="53"/>
      <c r="K37" s="54">
        <f t="shared" si="3"/>
        <v>0</v>
      </c>
      <c r="L37" s="55">
        <f t="shared" si="0"/>
        <v>-8.3333333333333329E-2</v>
      </c>
      <c r="M37" s="53">
        <f t="shared" si="1"/>
        <v>0</v>
      </c>
    </row>
    <row r="38" spans="2:15" ht="22.95" customHeight="1">
      <c r="B38" s="69" t="str">
        <f t="shared" si="4"/>
        <v/>
      </c>
      <c r="C38" s="70" t="str">
        <f t="shared" si="2"/>
        <v/>
      </c>
      <c r="D38" s="71"/>
      <c r="E38" s="74"/>
      <c r="F38" s="75"/>
      <c r="G38" s="64"/>
      <c r="H38" s="75"/>
      <c r="I38" s="65"/>
      <c r="J38" s="66"/>
      <c r="K38" s="67">
        <f t="shared" si="3"/>
        <v>0</v>
      </c>
      <c r="L38" s="68">
        <f t="shared" si="0"/>
        <v>-8.3333333333333329E-2</v>
      </c>
      <c r="M38" s="66">
        <f t="shared" si="1"/>
        <v>0</v>
      </c>
    </row>
    <row r="39" spans="2:15" ht="22.95" customHeight="1">
      <c r="B39" s="69" t="str">
        <f t="shared" si="4"/>
        <v/>
      </c>
      <c r="C39" s="70" t="str">
        <f t="shared" si="2"/>
        <v/>
      </c>
      <c r="D39" s="71"/>
      <c r="E39" s="74"/>
      <c r="F39" s="75"/>
      <c r="G39" s="64"/>
      <c r="H39" s="75"/>
      <c r="I39" s="65"/>
      <c r="J39" s="66"/>
      <c r="K39" s="67">
        <f t="shared" si="3"/>
        <v>0</v>
      </c>
      <c r="L39" s="68">
        <f t="shared" si="0"/>
        <v>-8.3333333333333329E-2</v>
      </c>
      <c r="M39" s="66">
        <f t="shared" si="1"/>
        <v>0</v>
      </c>
    </row>
    <row r="40" spans="2:15" ht="22.95" customHeight="1" thickBot="1">
      <c r="B40" s="77" t="str">
        <f>IF(MONTH($B$10)=MONTH($B$10+ROW()-ROW($B$10)),$B$10+ROW()-ROW($B$10),"")</f>
        <v/>
      </c>
      <c r="C40" s="78" t="str">
        <f t="shared" si="2"/>
        <v/>
      </c>
      <c r="D40" s="79"/>
      <c r="E40" s="74"/>
      <c r="F40" s="75"/>
      <c r="G40" s="64"/>
      <c r="H40" s="75"/>
      <c r="I40" s="65"/>
      <c r="J40" s="80"/>
      <c r="K40" s="67">
        <f t="shared" si="3"/>
        <v>0</v>
      </c>
      <c r="L40" s="68">
        <f t="shared" si="0"/>
        <v>-8.3333333333333329E-2</v>
      </c>
      <c r="M40" s="66">
        <f t="shared" si="1"/>
        <v>0</v>
      </c>
    </row>
    <row r="41" spans="2:15" ht="22.95" customHeight="1" thickBot="1">
      <c r="B41" s="88" t="s">
        <v>24</v>
      </c>
      <c r="C41" s="89"/>
      <c r="D41" s="89"/>
      <c r="E41" s="89"/>
      <c r="F41" s="89"/>
      <c r="G41" s="89"/>
      <c r="H41" s="89"/>
      <c r="I41" s="89"/>
      <c r="J41" s="89"/>
      <c r="K41" s="81">
        <f>SUMIF(K10:K40,"&gt;0")</f>
        <v>0</v>
      </c>
      <c r="L41" s="82">
        <f>SUMIF(L10:L40,"&gt;0")</f>
        <v>0</v>
      </c>
      <c r="M41" s="83">
        <f>SUMIF(M10:M40,"&gt;0")</f>
        <v>0</v>
      </c>
    </row>
    <row r="43" spans="2:15" ht="20.100000000000001" customHeight="1">
      <c r="G43" s="15" t="s">
        <v>25</v>
      </c>
      <c r="H43" s="16">
        <f>COUNTIF(D10:D40,"出勤")</f>
        <v>0</v>
      </c>
      <c r="I43" s="29"/>
      <c r="J43" s="5"/>
      <c r="K43" s="95" t="s">
        <v>31</v>
      </c>
      <c r="L43" s="95"/>
      <c r="M43" s="56">
        <f>K41+L41</f>
        <v>0</v>
      </c>
      <c r="O43" t="s">
        <v>32</v>
      </c>
    </row>
    <row r="44" spans="2:15" ht="20.100000000000001" customHeight="1">
      <c r="G44" s="17" t="s">
        <v>26</v>
      </c>
      <c r="H44" s="16">
        <f>COUNTIF(D10:D40,"欠勤")</f>
        <v>0</v>
      </c>
      <c r="I44" s="29"/>
      <c r="J44" s="5"/>
      <c r="K44" s="95" t="s">
        <v>33</v>
      </c>
      <c r="L44" s="95"/>
      <c r="M44" s="56">
        <v>7.3791666666666664</v>
      </c>
      <c r="O44" t="s">
        <v>34</v>
      </c>
    </row>
    <row r="45" spans="2:15" ht="20.100000000000001" customHeight="1">
      <c r="G45" s="15" t="s">
        <v>27</v>
      </c>
      <c r="H45" s="16">
        <f>COUNTIF(D10:D40,"有給")</f>
        <v>0</v>
      </c>
      <c r="I45" s="29"/>
      <c r="J45" s="5"/>
      <c r="K45" s="90" t="s">
        <v>35</v>
      </c>
      <c r="L45" s="91"/>
      <c r="M45" s="56">
        <f>M43-M44</f>
        <v>-7.3791666666666664</v>
      </c>
    </row>
    <row r="46" spans="2:15">
      <c r="K46" s="94" t="s">
        <v>36</v>
      </c>
      <c r="L46" s="94"/>
      <c r="M46" s="44">
        <f>M43-M41</f>
        <v>0</v>
      </c>
    </row>
    <row r="50" spans="10:15">
      <c r="J50" s="92" t="s">
        <v>37</v>
      </c>
      <c r="K50" s="92"/>
      <c r="L50" s="92"/>
      <c r="M50" s="92"/>
      <c r="N50" s="92"/>
    </row>
    <row r="51" spans="10:15">
      <c r="J51" s="92" t="s">
        <v>38</v>
      </c>
      <c r="K51" s="92" t="s">
        <v>39</v>
      </c>
      <c r="L51" s="92"/>
      <c r="M51" s="92"/>
      <c r="N51" s="92"/>
    </row>
    <row r="52" spans="10:15">
      <c r="J52" s="92"/>
      <c r="K52" s="43" t="s">
        <v>40</v>
      </c>
      <c r="L52" s="43" t="s">
        <v>41</v>
      </c>
      <c r="M52" s="43" t="s">
        <v>42</v>
      </c>
      <c r="N52" s="43" t="s">
        <v>43</v>
      </c>
    </row>
    <row r="53" spans="10:15">
      <c r="J53" s="35">
        <v>40</v>
      </c>
      <c r="K53" s="36">
        <v>160</v>
      </c>
      <c r="L53" s="36">
        <v>165.7</v>
      </c>
      <c r="M53" s="36">
        <v>171.4</v>
      </c>
      <c r="N53" s="36">
        <v>177.1</v>
      </c>
      <c r="O53" t="s">
        <v>44</v>
      </c>
    </row>
    <row r="54" spans="10:15">
      <c r="K54" s="93" t="s">
        <v>45</v>
      </c>
      <c r="L54" s="93"/>
      <c r="M54" s="93"/>
      <c r="N54" s="93"/>
    </row>
    <row r="55" spans="10:15">
      <c r="K55" s="37">
        <v>6.666666666666667</v>
      </c>
      <c r="L55" s="37">
        <v>6.9041666666666668</v>
      </c>
      <c r="M55" s="37">
        <v>7.1416666666666666</v>
      </c>
      <c r="N55" s="37">
        <v>7.3791666666666664</v>
      </c>
      <c r="O55" t="s">
        <v>46</v>
      </c>
    </row>
  </sheetData>
  <mergeCells count="11">
    <mergeCell ref="B3:C3"/>
    <mergeCell ref="B9:C9"/>
    <mergeCell ref="B41:J41"/>
    <mergeCell ref="K43:L43"/>
    <mergeCell ref="K44:L44"/>
    <mergeCell ref="K45:L45"/>
    <mergeCell ref="J50:N50"/>
    <mergeCell ref="J51:J52"/>
    <mergeCell ref="K51:N51"/>
    <mergeCell ref="K54:N54"/>
    <mergeCell ref="K46:L46"/>
  </mergeCells>
  <phoneticPr fontId="1"/>
  <conditionalFormatting sqref="B10:D40">
    <cfRule type="expression" dxfId="7" priority="1">
      <formula>WEEKDAY(B10)=7</formula>
    </cfRule>
    <cfRule type="expression" dxfId="6" priority="2">
      <formula>WEEKDAY(B10)=1</formula>
    </cfRule>
  </conditionalFormatting>
  <dataValidations count="1">
    <dataValidation type="list" allowBlank="1" showInputMessage="1" showErrorMessage="1" sqref="D10:D40" xr:uid="{17DE9583-0384-421C-8F0A-48161606A200}">
      <formula1>"出勤,欠勤,休日,有給"</formula1>
    </dataValidation>
  </dataValidation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7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A21B5-73CC-4871-9704-AF6FD3F65656}">
  <sheetPr>
    <pageSetUpPr fitToPage="1"/>
  </sheetPr>
  <dimension ref="B1:O55"/>
  <sheetViews>
    <sheetView showGridLines="0" tabSelected="1" topLeftCell="A9" zoomScale="115" zoomScaleNormal="115" workbookViewId="0">
      <selection activeCell="E20" sqref="E20"/>
    </sheetView>
  </sheetViews>
  <sheetFormatPr defaultColWidth="8.6640625" defaultRowHeight="13.2"/>
  <cols>
    <col min="1" max="1" width="2.6640625" customWidth="1"/>
    <col min="2" max="3" width="6.109375" customWidth="1"/>
    <col min="4" max="4" width="5.6640625" style="5" customWidth="1"/>
    <col min="5" max="6" width="17.6640625" customWidth="1"/>
    <col min="7" max="8" width="17.6640625" style="5" customWidth="1"/>
    <col min="9" max="10" width="17.6640625" customWidth="1"/>
    <col min="11" max="11" width="9.44140625" customWidth="1"/>
    <col min="12" max="12" width="9.44140625" style="5" customWidth="1"/>
    <col min="13" max="13" width="9.44140625" customWidth="1"/>
  </cols>
  <sheetData>
    <row r="1" spans="2:13" ht="31.95" customHeight="1">
      <c r="B1" s="34"/>
    </row>
    <row r="2" spans="2:13" ht="31.95" customHeight="1">
      <c r="B2" s="33"/>
    </row>
    <row r="3" spans="2:13" s="18" customFormat="1" ht="30.75" customHeight="1">
      <c r="B3" s="85">
        <v>2026</v>
      </c>
      <c r="C3" s="85"/>
      <c r="D3" s="19" t="s">
        <v>4</v>
      </c>
      <c r="E3" s="19">
        <v>2</v>
      </c>
      <c r="F3" s="19" t="s">
        <v>5</v>
      </c>
      <c r="G3" s="42"/>
      <c r="H3" s="20"/>
      <c r="I3" s="21">
        <f>DATE(B3,E3,1)</f>
        <v>46054</v>
      </c>
      <c r="L3" s="20"/>
    </row>
    <row r="4" spans="2:13" s="1" customFormat="1" ht="23.1" customHeight="1">
      <c r="B4" s="11"/>
      <c r="C4" s="11"/>
      <c r="D4" s="11"/>
      <c r="E4" s="11"/>
      <c r="F4" s="11"/>
      <c r="G4" s="7"/>
      <c r="H4" s="6"/>
      <c r="I4" s="27" t="s">
        <v>6</v>
      </c>
      <c r="J4" s="28" t="s">
        <v>47</v>
      </c>
      <c r="K4" s="23"/>
      <c r="L4" s="24"/>
    </row>
    <row r="5" spans="2:13" s="1" customFormat="1" ht="10.5" customHeight="1">
      <c r="B5" s="11"/>
      <c r="C5" s="11"/>
      <c r="D5" s="11"/>
      <c r="E5" s="11"/>
      <c r="F5" s="11"/>
      <c r="G5" s="7"/>
      <c r="H5" s="6"/>
      <c r="I5" s="22"/>
      <c r="J5" s="23"/>
      <c r="K5" s="23"/>
      <c r="L5" s="24"/>
    </row>
    <row r="6" spans="2:13" s="1" customFormat="1" ht="20.100000000000001" customHeight="1">
      <c r="B6" s="2"/>
      <c r="C6" s="2"/>
      <c r="D6" s="4"/>
      <c r="E6" s="2"/>
      <c r="F6" s="2"/>
      <c r="G6" s="12" t="s">
        <v>7</v>
      </c>
      <c r="H6" s="13" t="s">
        <v>8</v>
      </c>
      <c r="I6" s="13" t="s">
        <v>9</v>
      </c>
      <c r="J6" s="8" t="s">
        <v>10</v>
      </c>
      <c r="K6" s="13"/>
      <c r="L6" s="8"/>
    </row>
    <row r="7" spans="2:13" s="10" customFormat="1" ht="20.100000000000001" customHeight="1">
      <c r="C7" s="45"/>
      <c r="D7" s="10" t="s">
        <v>51</v>
      </c>
      <c r="E7" s="8"/>
      <c r="G7" s="14">
        <v>0.33333333333333331</v>
      </c>
      <c r="H7" s="14">
        <v>0.75</v>
      </c>
      <c r="I7" s="14">
        <v>8.3333333333333329E-2</v>
      </c>
      <c r="J7" s="14">
        <v>0.33333333333333331</v>
      </c>
      <c r="K7" s="26"/>
      <c r="L7" s="26"/>
      <c r="M7" s="9"/>
    </row>
    <row r="8" spans="2:13">
      <c r="B8" s="2"/>
      <c r="C8" s="2"/>
      <c r="D8" s="4"/>
      <c r="E8" s="2"/>
      <c r="F8" s="2"/>
      <c r="G8" s="4"/>
      <c r="H8" s="4"/>
      <c r="I8" s="2"/>
    </row>
    <row r="9" spans="2:13" ht="22.95" customHeight="1">
      <c r="B9" s="86" t="s">
        <v>12</v>
      </c>
      <c r="C9" s="87"/>
      <c r="D9" s="3" t="s">
        <v>13</v>
      </c>
      <c r="E9" s="38" t="s">
        <v>14</v>
      </c>
      <c r="F9" s="39" t="s">
        <v>15</v>
      </c>
      <c r="G9" s="40" t="s">
        <v>16</v>
      </c>
      <c r="H9" s="40" t="s">
        <v>17</v>
      </c>
      <c r="I9" s="39" t="s">
        <v>18</v>
      </c>
      <c r="J9" s="41" t="s">
        <v>19</v>
      </c>
      <c r="K9" s="25" t="s">
        <v>20</v>
      </c>
      <c r="L9" s="31" t="s">
        <v>21</v>
      </c>
      <c r="M9" s="32" t="s">
        <v>22</v>
      </c>
    </row>
    <row r="10" spans="2:13" ht="22.95" customHeight="1">
      <c r="B10" s="57">
        <f>DATE($B$3, $E$3, 1)</f>
        <v>46054</v>
      </c>
      <c r="C10" s="58">
        <f>B10</f>
        <v>46054</v>
      </c>
      <c r="D10" s="59"/>
      <c r="E10" s="60"/>
      <c r="F10" s="61"/>
      <c r="G10" s="51"/>
      <c r="H10" s="61"/>
      <c r="I10" s="52"/>
      <c r="J10" s="53"/>
      <c r="K10" s="54">
        <f>F10-E10+J10-H10</f>
        <v>0</v>
      </c>
      <c r="L10" s="55">
        <f t="shared" ref="L10:L40" si="0">IF(OR(H10=":",H10=":"),":",H10-G10-TIMEVALUE("2:00"))</f>
        <v>-8.3333333333333329E-2</v>
      </c>
      <c r="M10" s="53">
        <f t="shared" ref="M10:M40" si="1">IF(K10+L10-"8:00"&lt;0,0,K10+L10-"8:00")</f>
        <v>0</v>
      </c>
    </row>
    <row r="11" spans="2:13" ht="22.95" customHeight="1">
      <c r="B11" s="69">
        <f>IF(MONTH($B$10)=MONTH($B$10+ROW()-ROW($B$10)),$B$10+ROW()-ROW($B$10),"")</f>
        <v>46055</v>
      </c>
      <c r="C11" s="70">
        <f t="shared" ref="C11:C40" si="2">B11</f>
        <v>46055</v>
      </c>
      <c r="D11" s="71"/>
      <c r="E11" s="62"/>
      <c r="F11" s="63"/>
      <c r="G11" s="64"/>
      <c r="H11" s="63"/>
      <c r="I11" s="72"/>
      <c r="J11" s="73"/>
      <c r="K11" s="67">
        <f t="shared" ref="K11:K40" si="3">F11-E11+J11-H11</f>
        <v>0</v>
      </c>
      <c r="L11" s="68">
        <f t="shared" si="0"/>
        <v>-8.3333333333333329E-2</v>
      </c>
      <c r="M11" s="66">
        <f t="shared" si="1"/>
        <v>0</v>
      </c>
    </row>
    <row r="12" spans="2:13" ht="22.95" customHeight="1">
      <c r="B12" s="69">
        <f t="shared" ref="B12:B39" si="4">IF(MONTH($B$10)=MONTH($B$10+ROW()-ROW($B$10)),$B$10+ROW()-ROW($B$10),"")</f>
        <v>46056</v>
      </c>
      <c r="C12" s="70">
        <f t="shared" si="2"/>
        <v>46056</v>
      </c>
      <c r="D12" s="71"/>
      <c r="E12" s="74"/>
      <c r="F12" s="75"/>
      <c r="G12" s="64"/>
      <c r="H12" s="75"/>
      <c r="I12" s="65"/>
      <c r="J12" s="66"/>
      <c r="K12" s="67">
        <f t="shared" si="3"/>
        <v>0</v>
      </c>
      <c r="L12" s="68">
        <f t="shared" si="0"/>
        <v>-8.3333333333333329E-2</v>
      </c>
      <c r="M12" s="66">
        <f t="shared" si="1"/>
        <v>0</v>
      </c>
    </row>
    <row r="13" spans="2:13" ht="22.95" customHeight="1">
      <c r="B13" s="69">
        <f t="shared" si="4"/>
        <v>46057</v>
      </c>
      <c r="C13" s="70">
        <f t="shared" si="2"/>
        <v>46057</v>
      </c>
      <c r="D13" s="71"/>
      <c r="E13" s="74"/>
      <c r="F13" s="75"/>
      <c r="G13" s="64"/>
      <c r="H13" s="75"/>
      <c r="I13" s="65"/>
      <c r="J13" s="66"/>
      <c r="K13" s="67">
        <f t="shared" si="3"/>
        <v>0</v>
      </c>
      <c r="L13" s="68">
        <f t="shared" si="0"/>
        <v>-8.3333333333333329E-2</v>
      </c>
      <c r="M13" s="66">
        <f t="shared" si="1"/>
        <v>0</v>
      </c>
    </row>
    <row r="14" spans="2:13" ht="22.95" customHeight="1">
      <c r="B14" s="69">
        <f t="shared" si="4"/>
        <v>46058</v>
      </c>
      <c r="C14" s="70">
        <f t="shared" si="2"/>
        <v>46058</v>
      </c>
      <c r="D14" s="71"/>
      <c r="E14" s="74"/>
      <c r="F14" s="75"/>
      <c r="G14" s="64"/>
      <c r="H14" s="75"/>
      <c r="I14" s="65"/>
      <c r="J14" s="66"/>
      <c r="K14" s="67">
        <f t="shared" si="3"/>
        <v>0</v>
      </c>
      <c r="L14" s="68">
        <f t="shared" si="0"/>
        <v>-8.3333333333333329E-2</v>
      </c>
      <c r="M14" s="66">
        <f t="shared" si="1"/>
        <v>0</v>
      </c>
    </row>
    <row r="15" spans="2:13" ht="22.95" customHeight="1">
      <c r="B15" s="69">
        <f t="shared" si="4"/>
        <v>46059</v>
      </c>
      <c r="C15" s="70">
        <f t="shared" si="2"/>
        <v>46059</v>
      </c>
      <c r="D15" s="71"/>
      <c r="E15" s="74"/>
      <c r="F15" s="75"/>
      <c r="G15" s="64"/>
      <c r="H15" s="75"/>
      <c r="I15" s="65"/>
      <c r="J15" s="66"/>
      <c r="K15" s="67">
        <f t="shared" si="3"/>
        <v>0</v>
      </c>
      <c r="L15" s="68">
        <f t="shared" si="0"/>
        <v>-8.3333333333333329E-2</v>
      </c>
      <c r="M15" s="66">
        <f t="shared" si="1"/>
        <v>0</v>
      </c>
    </row>
    <row r="16" spans="2:13" ht="22.95" customHeight="1">
      <c r="B16" s="46">
        <f t="shared" si="4"/>
        <v>46060</v>
      </c>
      <c r="C16" s="47">
        <f t="shared" si="2"/>
        <v>46060</v>
      </c>
      <c r="D16" s="48"/>
      <c r="E16" s="49"/>
      <c r="F16" s="50"/>
      <c r="G16" s="51"/>
      <c r="H16" s="50"/>
      <c r="I16" s="52"/>
      <c r="J16" s="53"/>
      <c r="K16" s="54">
        <f t="shared" si="3"/>
        <v>0</v>
      </c>
      <c r="L16" s="55">
        <f t="shared" si="0"/>
        <v>-8.3333333333333329E-2</v>
      </c>
      <c r="M16" s="53">
        <f t="shared" si="1"/>
        <v>0</v>
      </c>
    </row>
    <row r="17" spans="2:13" ht="22.95" customHeight="1">
      <c r="B17" s="46">
        <f t="shared" si="4"/>
        <v>46061</v>
      </c>
      <c r="C17" s="47">
        <f t="shared" si="2"/>
        <v>46061</v>
      </c>
      <c r="D17" s="48"/>
      <c r="E17" s="49"/>
      <c r="F17" s="50"/>
      <c r="G17" s="51"/>
      <c r="H17" s="50"/>
      <c r="I17" s="52"/>
      <c r="J17" s="53"/>
      <c r="K17" s="54">
        <f t="shared" si="3"/>
        <v>0</v>
      </c>
      <c r="L17" s="55">
        <f t="shared" si="0"/>
        <v>-8.3333333333333329E-2</v>
      </c>
      <c r="M17" s="53">
        <f t="shared" si="1"/>
        <v>0</v>
      </c>
    </row>
    <row r="18" spans="2:13" ht="22.95" customHeight="1">
      <c r="B18" s="69">
        <f t="shared" si="4"/>
        <v>46062</v>
      </c>
      <c r="C18" s="70">
        <f t="shared" si="2"/>
        <v>46062</v>
      </c>
      <c r="D18" s="71" t="s">
        <v>52</v>
      </c>
      <c r="E18" s="74"/>
      <c r="F18" s="75"/>
      <c r="G18" s="76"/>
      <c r="H18" s="75"/>
      <c r="I18" s="65"/>
      <c r="J18" s="66"/>
      <c r="K18" s="67">
        <f t="shared" si="3"/>
        <v>0</v>
      </c>
      <c r="L18" s="68">
        <f t="shared" si="0"/>
        <v>-8.3333333333333329E-2</v>
      </c>
      <c r="M18" s="66">
        <f t="shared" si="1"/>
        <v>0</v>
      </c>
    </row>
    <row r="19" spans="2:13" ht="22.95" customHeight="1">
      <c r="B19" s="69">
        <f t="shared" si="4"/>
        <v>46063</v>
      </c>
      <c r="C19" s="70">
        <f t="shared" si="2"/>
        <v>46063</v>
      </c>
      <c r="D19" s="71"/>
      <c r="E19" s="74"/>
      <c r="F19" s="75"/>
      <c r="G19" s="64"/>
      <c r="H19" s="75"/>
      <c r="I19" s="65"/>
      <c r="J19" s="66"/>
      <c r="K19" s="67">
        <f t="shared" si="3"/>
        <v>0</v>
      </c>
      <c r="L19" s="68">
        <f t="shared" si="0"/>
        <v>-8.3333333333333329E-2</v>
      </c>
      <c r="M19" s="66">
        <f t="shared" si="1"/>
        <v>0</v>
      </c>
    </row>
    <row r="20" spans="2:13" ht="22.95" customHeight="1">
      <c r="B20" s="69">
        <f t="shared" si="4"/>
        <v>46064</v>
      </c>
      <c r="C20" s="70">
        <f t="shared" si="2"/>
        <v>46064</v>
      </c>
      <c r="D20" s="71"/>
      <c r="E20" s="74"/>
      <c r="F20" s="75"/>
      <c r="G20" s="64"/>
      <c r="H20" s="75"/>
      <c r="I20" s="65"/>
      <c r="J20" s="66"/>
      <c r="K20" s="67">
        <f t="shared" si="3"/>
        <v>0</v>
      </c>
      <c r="L20" s="68">
        <f t="shared" si="0"/>
        <v>-8.3333333333333329E-2</v>
      </c>
      <c r="M20" s="66">
        <f t="shared" si="1"/>
        <v>0</v>
      </c>
    </row>
    <row r="21" spans="2:13" ht="22.95" customHeight="1">
      <c r="B21" s="69">
        <f t="shared" si="4"/>
        <v>46065</v>
      </c>
      <c r="C21" s="70">
        <f t="shared" si="2"/>
        <v>46065</v>
      </c>
      <c r="D21" s="71"/>
      <c r="E21" s="74"/>
      <c r="F21" s="75"/>
      <c r="G21" s="64"/>
      <c r="H21" s="75"/>
      <c r="I21" s="65"/>
      <c r="J21" s="66"/>
      <c r="K21" s="67">
        <f t="shared" si="3"/>
        <v>0</v>
      </c>
      <c r="L21" s="68">
        <f t="shared" si="0"/>
        <v>-8.3333333333333329E-2</v>
      </c>
      <c r="M21" s="66">
        <f t="shared" si="1"/>
        <v>0</v>
      </c>
    </row>
    <row r="22" spans="2:13" ht="22.95" customHeight="1">
      <c r="B22" s="69">
        <f t="shared" si="4"/>
        <v>46066</v>
      </c>
      <c r="C22" s="70">
        <f t="shared" si="2"/>
        <v>46066</v>
      </c>
      <c r="D22" s="71"/>
      <c r="E22" s="74"/>
      <c r="F22" s="75"/>
      <c r="G22" s="64"/>
      <c r="H22" s="75"/>
      <c r="I22" s="65"/>
      <c r="J22" s="66"/>
      <c r="K22" s="67">
        <f t="shared" si="3"/>
        <v>0</v>
      </c>
      <c r="L22" s="68">
        <f t="shared" si="0"/>
        <v>-8.3333333333333329E-2</v>
      </c>
      <c r="M22" s="66">
        <f t="shared" si="1"/>
        <v>0</v>
      </c>
    </row>
    <row r="23" spans="2:13" ht="22.95" customHeight="1">
      <c r="B23" s="46">
        <f t="shared" si="4"/>
        <v>46067</v>
      </c>
      <c r="C23" s="47">
        <f t="shared" si="2"/>
        <v>46067</v>
      </c>
      <c r="D23" s="48"/>
      <c r="E23" s="49"/>
      <c r="F23" s="50"/>
      <c r="G23" s="51"/>
      <c r="H23" s="50"/>
      <c r="I23" s="52"/>
      <c r="J23" s="53"/>
      <c r="K23" s="54">
        <f t="shared" si="3"/>
        <v>0</v>
      </c>
      <c r="L23" s="55">
        <f t="shared" si="0"/>
        <v>-8.3333333333333329E-2</v>
      </c>
      <c r="M23" s="53">
        <f t="shared" si="1"/>
        <v>0</v>
      </c>
    </row>
    <row r="24" spans="2:13" ht="22.95" customHeight="1">
      <c r="B24" s="46">
        <f t="shared" si="4"/>
        <v>46068</v>
      </c>
      <c r="C24" s="47">
        <f t="shared" si="2"/>
        <v>46068</v>
      </c>
      <c r="D24" s="48"/>
      <c r="E24" s="49"/>
      <c r="F24" s="50"/>
      <c r="G24" s="51"/>
      <c r="H24" s="50"/>
      <c r="I24" s="52"/>
      <c r="J24" s="53"/>
      <c r="K24" s="54">
        <f t="shared" si="3"/>
        <v>0</v>
      </c>
      <c r="L24" s="55">
        <f t="shared" si="0"/>
        <v>-8.3333333333333329E-2</v>
      </c>
      <c r="M24" s="53">
        <f t="shared" si="1"/>
        <v>0</v>
      </c>
    </row>
    <row r="25" spans="2:13" ht="22.95" customHeight="1">
      <c r="B25" s="69">
        <f t="shared" si="4"/>
        <v>46069</v>
      </c>
      <c r="C25" s="70">
        <f t="shared" si="2"/>
        <v>46069</v>
      </c>
      <c r="D25" s="71"/>
      <c r="E25" s="74"/>
      <c r="F25" s="75"/>
      <c r="G25" s="64"/>
      <c r="H25" s="75"/>
      <c r="I25" s="65"/>
      <c r="J25" s="66"/>
      <c r="K25" s="67">
        <f t="shared" si="3"/>
        <v>0</v>
      </c>
      <c r="L25" s="68">
        <f t="shared" si="0"/>
        <v>-8.3333333333333329E-2</v>
      </c>
      <c r="M25" s="66">
        <f t="shared" si="1"/>
        <v>0</v>
      </c>
    </row>
    <row r="26" spans="2:13" ht="22.95" customHeight="1">
      <c r="B26" s="69">
        <f t="shared" si="4"/>
        <v>46070</v>
      </c>
      <c r="C26" s="70">
        <f t="shared" si="2"/>
        <v>46070</v>
      </c>
      <c r="D26" s="71"/>
      <c r="E26" s="74"/>
      <c r="F26" s="75"/>
      <c r="G26" s="64"/>
      <c r="H26" s="75"/>
      <c r="I26" s="65"/>
      <c r="J26" s="66"/>
      <c r="K26" s="67">
        <f t="shared" si="3"/>
        <v>0</v>
      </c>
      <c r="L26" s="68">
        <f t="shared" si="0"/>
        <v>-8.3333333333333329E-2</v>
      </c>
      <c r="M26" s="66">
        <f t="shared" si="1"/>
        <v>0</v>
      </c>
    </row>
    <row r="27" spans="2:13" ht="22.95" customHeight="1">
      <c r="B27" s="69">
        <f t="shared" si="4"/>
        <v>46071</v>
      </c>
      <c r="C27" s="70">
        <f t="shared" si="2"/>
        <v>46071</v>
      </c>
      <c r="D27" s="71"/>
      <c r="E27" s="74"/>
      <c r="F27" s="75"/>
      <c r="G27" s="64"/>
      <c r="H27" s="75"/>
      <c r="I27" s="65"/>
      <c r="J27" s="66"/>
      <c r="K27" s="67">
        <f t="shared" si="3"/>
        <v>0</v>
      </c>
      <c r="L27" s="68">
        <f t="shared" si="0"/>
        <v>-8.3333333333333329E-2</v>
      </c>
      <c r="M27" s="66">
        <f t="shared" si="1"/>
        <v>0</v>
      </c>
    </row>
    <row r="28" spans="2:13" ht="22.95" customHeight="1">
      <c r="B28" s="69">
        <f t="shared" si="4"/>
        <v>46072</v>
      </c>
      <c r="C28" s="70">
        <f t="shared" si="2"/>
        <v>46072</v>
      </c>
      <c r="D28" s="71"/>
      <c r="E28" s="74"/>
      <c r="F28" s="75"/>
      <c r="G28" s="64"/>
      <c r="H28" s="75"/>
      <c r="I28" s="65"/>
      <c r="J28" s="66"/>
      <c r="K28" s="67">
        <f t="shared" si="3"/>
        <v>0</v>
      </c>
      <c r="L28" s="68">
        <f t="shared" si="0"/>
        <v>-8.3333333333333329E-2</v>
      </c>
      <c r="M28" s="66">
        <f t="shared" si="1"/>
        <v>0</v>
      </c>
    </row>
    <row r="29" spans="2:13" ht="22.95" customHeight="1">
      <c r="B29" s="69">
        <f t="shared" si="4"/>
        <v>46073</v>
      </c>
      <c r="C29" s="70">
        <f t="shared" si="2"/>
        <v>46073</v>
      </c>
      <c r="D29" s="71"/>
      <c r="E29" s="74"/>
      <c r="F29" s="75"/>
      <c r="G29" s="64"/>
      <c r="H29" s="75"/>
      <c r="I29" s="65"/>
      <c r="J29" s="66"/>
      <c r="K29" s="67">
        <f t="shared" si="3"/>
        <v>0</v>
      </c>
      <c r="L29" s="68">
        <f t="shared" si="0"/>
        <v>-8.3333333333333329E-2</v>
      </c>
      <c r="M29" s="66">
        <f t="shared" si="1"/>
        <v>0</v>
      </c>
    </row>
    <row r="30" spans="2:13" ht="22.95" customHeight="1">
      <c r="B30" s="69">
        <f t="shared" si="4"/>
        <v>46074</v>
      </c>
      <c r="C30" s="70">
        <f t="shared" si="2"/>
        <v>46074</v>
      </c>
      <c r="D30" s="71"/>
      <c r="E30" s="74"/>
      <c r="F30" s="75"/>
      <c r="G30" s="64"/>
      <c r="H30" s="75"/>
      <c r="I30" s="65"/>
      <c r="J30" s="66"/>
      <c r="K30" s="67">
        <f t="shared" si="3"/>
        <v>0</v>
      </c>
      <c r="L30" s="68">
        <f t="shared" si="0"/>
        <v>-8.3333333333333329E-2</v>
      </c>
      <c r="M30" s="66">
        <f t="shared" si="1"/>
        <v>0</v>
      </c>
    </row>
    <row r="31" spans="2:13" ht="22.95" customHeight="1">
      <c r="B31" s="46">
        <f t="shared" si="4"/>
        <v>46075</v>
      </c>
      <c r="C31" s="47">
        <f t="shared" si="2"/>
        <v>46075</v>
      </c>
      <c r="D31" s="48"/>
      <c r="E31" s="49"/>
      <c r="F31" s="50"/>
      <c r="G31" s="51"/>
      <c r="H31" s="50"/>
      <c r="I31" s="52"/>
      <c r="J31" s="53"/>
      <c r="K31" s="54">
        <f t="shared" si="3"/>
        <v>0</v>
      </c>
      <c r="L31" s="55">
        <f t="shared" si="0"/>
        <v>-8.3333333333333329E-2</v>
      </c>
      <c r="M31" s="53">
        <f t="shared" si="1"/>
        <v>0</v>
      </c>
    </row>
    <row r="32" spans="2:13" ht="22.95" customHeight="1">
      <c r="B32" s="69">
        <f t="shared" si="4"/>
        <v>46076</v>
      </c>
      <c r="C32" s="70">
        <f t="shared" si="2"/>
        <v>46076</v>
      </c>
      <c r="D32" s="71"/>
      <c r="E32" s="74"/>
      <c r="F32" s="75"/>
      <c r="G32" s="64"/>
      <c r="H32" s="75"/>
      <c r="I32" s="65"/>
      <c r="J32" s="66"/>
      <c r="K32" s="67">
        <f t="shared" si="3"/>
        <v>0</v>
      </c>
      <c r="L32" s="68">
        <f t="shared" si="0"/>
        <v>-8.3333333333333329E-2</v>
      </c>
      <c r="M32" s="66">
        <f t="shared" si="1"/>
        <v>0</v>
      </c>
    </row>
    <row r="33" spans="2:15" ht="22.95" customHeight="1">
      <c r="B33" s="69">
        <f t="shared" si="4"/>
        <v>46077</v>
      </c>
      <c r="C33" s="70">
        <f t="shared" si="2"/>
        <v>46077</v>
      </c>
      <c r="D33" s="71"/>
      <c r="E33" s="74"/>
      <c r="F33" s="75"/>
      <c r="G33" s="64"/>
      <c r="H33" s="75"/>
      <c r="I33" s="65"/>
      <c r="J33" s="66"/>
      <c r="K33" s="67">
        <f t="shared" si="3"/>
        <v>0</v>
      </c>
      <c r="L33" s="68">
        <f t="shared" si="0"/>
        <v>-8.3333333333333329E-2</v>
      </c>
      <c r="M33" s="66">
        <f t="shared" si="1"/>
        <v>0</v>
      </c>
    </row>
    <row r="34" spans="2:15" ht="22.95" customHeight="1">
      <c r="B34" s="69">
        <f t="shared" si="4"/>
        <v>46078</v>
      </c>
      <c r="C34" s="70">
        <f t="shared" si="2"/>
        <v>46078</v>
      </c>
      <c r="D34" s="71"/>
      <c r="E34" s="74"/>
      <c r="F34" s="75"/>
      <c r="G34" s="64"/>
      <c r="H34" s="75"/>
      <c r="I34" s="65"/>
      <c r="J34" s="66"/>
      <c r="K34" s="67">
        <f t="shared" si="3"/>
        <v>0</v>
      </c>
      <c r="L34" s="68">
        <f t="shared" si="0"/>
        <v>-8.3333333333333329E-2</v>
      </c>
      <c r="M34" s="66">
        <f t="shared" si="1"/>
        <v>0</v>
      </c>
    </row>
    <row r="35" spans="2:15" ht="22.95" customHeight="1">
      <c r="B35" s="69">
        <f t="shared" si="4"/>
        <v>46079</v>
      </c>
      <c r="C35" s="70">
        <f t="shared" si="2"/>
        <v>46079</v>
      </c>
      <c r="D35" s="71"/>
      <c r="E35" s="74"/>
      <c r="F35" s="75"/>
      <c r="G35" s="64"/>
      <c r="H35" s="75"/>
      <c r="I35" s="65"/>
      <c r="J35" s="66"/>
      <c r="K35" s="67">
        <f t="shared" si="3"/>
        <v>0</v>
      </c>
      <c r="L35" s="68">
        <f t="shared" si="0"/>
        <v>-8.3333333333333329E-2</v>
      </c>
      <c r="M35" s="66">
        <f t="shared" si="1"/>
        <v>0</v>
      </c>
    </row>
    <row r="36" spans="2:15" ht="22.95" customHeight="1">
      <c r="B36" s="69">
        <f t="shared" si="4"/>
        <v>46080</v>
      </c>
      <c r="C36" s="70">
        <f t="shared" si="2"/>
        <v>46080</v>
      </c>
      <c r="D36" s="71"/>
      <c r="E36" s="74"/>
      <c r="F36" s="75"/>
      <c r="G36" s="64"/>
      <c r="H36" s="75"/>
      <c r="I36" s="65"/>
      <c r="J36" s="66"/>
      <c r="K36" s="67">
        <f t="shared" si="3"/>
        <v>0</v>
      </c>
      <c r="L36" s="68">
        <f t="shared" si="0"/>
        <v>-8.3333333333333329E-2</v>
      </c>
      <c r="M36" s="66">
        <f t="shared" si="1"/>
        <v>0</v>
      </c>
    </row>
    <row r="37" spans="2:15" ht="22.95" customHeight="1">
      <c r="B37" s="46">
        <f t="shared" si="4"/>
        <v>46081</v>
      </c>
      <c r="C37" s="47">
        <f t="shared" si="2"/>
        <v>46081</v>
      </c>
      <c r="D37" s="48"/>
      <c r="E37" s="49"/>
      <c r="F37" s="50"/>
      <c r="G37" s="51"/>
      <c r="H37" s="50"/>
      <c r="I37" s="52"/>
      <c r="J37" s="53"/>
      <c r="K37" s="54">
        <f t="shared" si="3"/>
        <v>0</v>
      </c>
      <c r="L37" s="55">
        <f t="shared" si="0"/>
        <v>-8.3333333333333329E-2</v>
      </c>
      <c r="M37" s="53">
        <f t="shared" si="1"/>
        <v>0</v>
      </c>
    </row>
    <row r="38" spans="2:15" ht="22.95" customHeight="1">
      <c r="B38" s="69" t="str">
        <f t="shared" si="4"/>
        <v/>
      </c>
      <c r="C38" s="70" t="str">
        <f t="shared" si="2"/>
        <v/>
      </c>
      <c r="D38" s="71"/>
      <c r="E38" s="74"/>
      <c r="F38" s="75"/>
      <c r="G38" s="64"/>
      <c r="H38" s="75"/>
      <c r="I38" s="65"/>
      <c r="J38" s="66"/>
      <c r="K38" s="67">
        <f t="shared" si="3"/>
        <v>0</v>
      </c>
      <c r="L38" s="68">
        <f t="shared" si="0"/>
        <v>-8.3333333333333329E-2</v>
      </c>
      <c r="M38" s="66">
        <f t="shared" si="1"/>
        <v>0</v>
      </c>
    </row>
    <row r="39" spans="2:15" ht="22.95" customHeight="1">
      <c r="B39" s="69" t="str">
        <f t="shared" si="4"/>
        <v/>
      </c>
      <c r="C39" s="70" t="str">
        <f t="shared" si="2"/>
        <v/>
      </c>
      <c r="D39" s="71"/>
      <c r="E39" s="74"/>
      <c r="F39" s="75"/>
      <c r="G39" s="64"/>
      <c r="H39" s="75"/>
      <c r="I39" s="65"/>
      <c r="J39" s="66"/>
      <c r="K39" s="67">
        <f t="shared" si="3"/>
        <v>0</v>
      </c>
      <c r="L39" s="68">
        <f t="shared" si="0"/>
        <v>-8.3333333333333329E-2</v>
      </c>
      <c r="M39" s="66">
        <f t="shared" si="1"/>
        <v>0</v>
      </c>
    </row>
    <row r="40" spans="2:15" ht="22.95" customHeight="1">
      <c r="B40" s="77" t="str">
        <f>IF(MONTH($B$10)=MONTH($B$10+ROW()-ROW($B$10)),$B$10+ROW()-ROW($B$10),"")</f>
        <v/>
      </c>
      <c r="C40" s="78" t="str">
        <f t="shared" si="2"/>
        <v/>
      </c>
      <c r="D40" s="79"/>
      <c r="E40" s="74"/>
      <c r="F40" s="75"/>
      <c r="G40" s="64"/>
      <c r="H40" s="75"/>
      <c r="I40" s="65"/>
      <c r="J40" s="80"/>
      <c r="K40" s="67">
        <f t="shared" si="3"/>
        <v>0</v>
      </c>
      <c r="L40" s="68">
        <f t="shared" si="0"/>
        <v>-8.3333333333333329E-2</v>
      </c>
      <c r="M40" s="66">
        <f t="shared" si="1"/>
        <v>0</v>
      </c>
    </row>
    <row r="41" spans="2:15" ht="22.95" customHeight="1">
      <c r="B41" s="88" t="s">
        <v>24</v>
      </c>
      <c r="C41" s="89"/>
      <c r="D41" s="89"/>
      <c r="E41" s="89"/>
      <c r="F41" s="89"/>
      <c r="G41" s="89"/>
      <c r="H41" s="89"/>
      <c r="I41" s="89"/>
      <c r="J41" s="89"/>
      <c r="K41" s="81">
        <f>SUMIF(K10:K40,"&gt;0")</f>
        <v>0</v>
      </c>
      <c r="L41" s="82">
        <f>SUMIF(L10:L40,"&gt;0")</f>
        <v>0</v>
      </c>
      <c r="M41" s="83">
        <f>SUMIF(M10:M40,"&gt;0")</f>
        <v>0</v>
      </c>
    </row>
    <row r="43" spans="2:15" ht="20.100000000000001" customHeight="1">
      <c r="G43" s="15" t="s">
        <v>25</v>
      </c>
      <c r="H43" s="16">
        <f>COUNTIF(D10:D40,"出勤")</f>
        <v>0</v>
      </c>
      <c r="I43" s="29"/>
      <c r="J43" s="5"/>
      <c r="K43" s="95" t="s">
        <v>31</v>
      </c>
      <c r="L43" s="95"/>
      <c r="M43" s="56">
        <f>K41+L41</f>
        <v>0</v>
      </c>
      <c r="O43" t="s">
        <v>32</v>
      </c>
    </row>
    <row r="44" spans="2:15" ht="20.100000000000001" customHeight="1">
      <c r="G44" s="17" t="s">
        <v>26</v>
      </c>
      <c r="H44" s="16">
        <f>COUNTIF(D10:D40,"欠勤")</f>
        <v>0</v>
      </c>
      <c r="I44" s="29"/>
      <c r="J44" s="5"/>
      <c r="K44" s="95" t="s">
        <v>33</v>
      </c>
      <c r="L44" s="95"/>
      <c r="M44" s="56">
        <v>7.3791666666666664</v>
      </c>
      <c r="O44" t="s">
        <v>34</v>
      </c>
    </row>
    <row r="45" spans="2:15" ht="20.100000000000001" customHeight="1">
      <c r="G45" s="15" t="s">
        <v>27</v>
      </c>
      <c r="H45" s="16">
        <f>COUNTIF(D10:D40,"有給")</f>
        <v>1</v>
      </c>
      <c r="I45" s="29"/>
      <c r="J45" s="5"/>
      <c r="K45" s="90" t="s">
        <v>35</v>
      </c>
      <c r="L45" s="91"/>
      <c r="M45" s="56">
        <f>M43-M44</f>
        <v>-7.3791666666666664</v>
      </c>
    </row>
    <row r="46" spans="2:15">
      <c r="K46" s="94" t="s">
        <v>36</v>
      </c>
      <c r="L46" s="94"/>
      <c r="M46" s="44">
        <f>M43-M41</f>
        <v>0</v>
      </c>
    </row>
    <row r="50" spans="10:15">
      <c r="J50" s="92" t="s">
        <v>37</v>
      </c>
      <c r="K50" s="92"/>
      <c r="L50" s="92"/>
      <c r="M50" s="92"/>
      <c r="N50" s="92"/>
    </row>
    <row r="51" spans="10:15">
      <c r="J51" s="92" t="s">
        <v>38</v>
      </c>
      <c r="K51" s="92" t="s">
        <v>39</v>
      </c>
      <c r="L51" s="92"/>
      <c r="M51" s="92"/>
      <c r="N51" s="92"/>
    </row>
    <row r="52" spans="10:15">
      <c r="J52" s="92"/>
      <c r="K52" s="43" t="s">
        <v>40</v>
      </c>
      <c r="L52" s="43" t="s">
        <v>41</v>
      </c>
      <c r="M52" s="43" t="s">
        <v>42</v>
      </c>
      <c r="N52" s="43" t="s">
        <v>43</v>
      </c>
    </row>
    <row r="53" spans="10:15">
      <c r="J53" s="35">
        <v>40</v>
      </c>
      <c r="K53" s="36">
        <v>160</v>
      </c>
      <c r="L53" s="36">
        <v>165.7</v>
      </c>
      <c r="M53" s="36">
        <v>171.4</v>
      </c>
      <c r="N53" s="36">
        <v>177.1</v>
      </c>
      <c r="O53" t="s">
        <v>44</v>
      </c>
    </row>
    <row r="54" spans="10:15">
      <c r="K54" s="93" t="s">
        <v>45</v>
      </c>
      <c r="L54" s="93"/>
      <c r="M54" s="93"/>
      <c r="N54" s="93"/>
    </row>
    <row r="55" spans="10:15">
      <c r="K55" s="37">
        <v>6.666666666666667</v>
      </c>
      <c r="L55" s="37">
        <v>6.9041666666666668</v>
      </c>
      <c r="M55" s="37">
        <v>7.1416666666666666</v>
      </c>
      <c r="N55" s="37">
        <v>7.3791666666666664</v>
      </c>
      <c r="O55" t="s">
        <v>46</v>
      </c>
    </row>
  </sheetData>
  <mergeCells count="11">
    <mergeCell ref="B3:C3"/>
    <mergeCell ref="B9:C9"/>
    <mergeCell ref="B41:J41"/>
    <mergeCell ref="K43:L43"/>
    <mergeCell ref="K44:L44"/>
    <mergeCell ref="K45:L45"/>
    <mergeCell ref="J50:N50"/>
    <mergeCell ref="J51:J52"/>
    <mergeCell ref="K51:N51"/>
    <mergeCell ref="K54:N54"/>
    <mergeCell ref="K46:L46"/>
  </mergeCells>
  <phoneticPr fontId="1"/>
  <conditionalFormatting sqref="B10:D40">
    <cfRule type="expression" dxfId="5" priority="1">
      <formula>WEEKDAY(B10)=7</formula>
    </cfRule>
    <cfRule type="expression" dxfId="4" priority="2">
      <formula>WEEKDAY(B10)=1</formula>
    </cfRule>
  </conditionalFormatting>
  <dataValidations count="1">
    <dataValidation type="list" allowBlank="1" showInputMessage="1" showErrorMessage="1" sqref="D10:D40" xr:uid="{31F94C43-6F57-4D7E-AEFF-59426BDCC2F3}">
      <formula1>"出勤,欠勤,休日,有給"</formula1>
    </dataValidation>
  </dataValidation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79" orientation="portrait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69ED9-DF2A-4A1E-934B-1C89B8338AF2}">
  <sheetPr>
    <pageSetUpPr fitToPage="1"/>
  </sheetPr>
  <dimension ref="B1:M45"/>
  <sheetViews>
    <sheetView showGridLines="0" zoomScale="115" zoomScaleNormal="115" workbookViewId="0">
      <selection activeCell="F35" sqref="F35"/>
    </sheetView>
  </sheetViews>
  <sheetFormatPr defaultColWidth="8.6640625" defaultRowHeight="13.2"/>
  <cols>
    <col min="1" max="1" width="2.6640625" customWidth="1"/>
    <col min="2" max="3" width="6.109375" customWidth="1"/>
    <col min="4" max="4" width="5.6640625" style="5" customWidth="1"/>
    <col min="5" max="6" width="17.6640625" customWidth="1"/>
    <col min="7" max="8" width="17.6640625" style="5" customWidth="1"/>
    <col min="9" max="10" width="17.6640625" customWidth="1"/>
    <col min="11" max="11" width="9.44140625" customWidth="1"/>
    <col min="12" max="12" width="9.44140625" style="5" customWidth="1"/>
    <col min="13" max="13" width="9.44140625" customWidth="1"/>
  </cols>
  <sheetData>
    <row r="1" spans="2:13" ht="31.95" customHeight="1">
      <c r="B1" s="34"/>
    </row>
    <row r="2" spans="2:13" ht="31.95" customHeight="1">
      <c r="B2" s="33"/>
    </row>
    <row r="3" spans="2:13" s="18" customFormat="1" ht="30.75" customHeight="1">
      <c r="B3" s="85">
        <v>2026</v>
      </c>
      <c r="C3" s="85"/>
      <c r="D3" s="19" t="s">
        <v>4</v>
      </c>
      <c r="E3" s="19">
        <v>2</v>
      </c>
      <c r="F3" s="19" t="s">
        <v>5</v>
      </c>
      <c r="G3" s="42"/>
      <c r="H3" s="20"/>
      <c r="I3" s="21">
        <f>DATE(B3,E3,1)</f>
        <v>46054</v>
      </c>
      <c r="L3" s="20"/>
    </row>
    <row r="4" spans="2:13" s="1" customFormat="1" ht="23.1" customHeight="1">
      <c r="B4" s="11"/>
      <c r="C4" s="11"/>
      <c r="D4" s="11"/>
      <c r="E4" s="11"/>
      <c r="F4" s="11"/>
      <c r="G4" s="7"/>
      <c r="H4" s="6"/>
      <c r="I4" s="27" t="s">
        <v>6</v>
      </c>
      <c r="J4" s="28" t="s">
        <v>48</v>
      </c>
      <c r="K4" s="23"/>
      <c r="L4" s="24"/>
    </row>
    <row r="5" spans="2:13" s="1" customFormat="1" ht="10.5" customHeight="1">
      <c r="B5" s="11"/>
      <c r="C5" s="11"/>
      <c r="D5" s="11"/>
      <c r="E5" s="11"/>
      <c r="F5" s="11"/>
      <c r="G5" s="7"/>
      <c r="H5" s="6"/>
      <c r="I5" s="22"/>
      <c r="J5" s="23"/>
      <c r="K5" s="23"/>
      <c r="L5" s="24"/>
    </row>
    <row r="6" spans="2:13" s="1" customFormat="1" ht="20.100000000000001" customHeight="1">
      <c r="B6" s="2"/>
      <c r="C6" s="2"/>
      <c r="D6" s="4"/>
      <c r="E6" s="2"/>
      <c r="F6" s="2"/>
      <c r="G6" s="12" t="s">
        <v>7</v>
      </c>
      <c r="H6" s="13" t="s">
        <v>8</v>
      </c>
      <c r="I6" s="13" t="s">
        <v>9</v>
      </c>
      <c r="J6" s="8" t="s">
        <v>10</v>
      </c>
      <c r="K6" s="13"/>
      <c r="L6" s="8"/>
    </row>
    <row r="7" spans="2:13" s="10" customFormat="1" ht="20.100000000000001" customHeight="1">
      <c r="C7" s="45"/>
      <c r="D7" s="10" t="s">
        <v>51</v>
      </c>
      <c r="E7" s="8"/>
      <c r="G7" s="14">
        <v>0.33333333333333331</v>
      </c>
      <c r="H7" s="14">
        <v>0.75</v>
      </c>
      <c r="I7" s="14">
        <v>8.3333333333333329E-2</v>
      </c>
      <c r="J7" s="14">
        <v>0.33333333333333331</v>
      </c>
      <c r="K7" s="26"/>
      <c r="L7" s="26"/>
      <c r="M7" s="9"/>
    </row>
    <row r="8" spans="2:13">
      <c r="B8" s="2"/>
      <c r="C8" s="2"/>
      <c r="D8" s="4"/>
      <c r="E8" s="2"/>
      <c r="F8" s="2"/>
      <c r="G8" s="4"/>
      <c r="H8" s="4"/>
      <c r="I8" s="2"/>
    </row>
    <row r="9" spans="2:13" ht="22.95" customHeight="1">
      <c r="B9" s="86" t="s">
        <v>12</v>
      </c>
      <c r="C9" s="87"/>
      <c r="D9" s="3" t="s">
        <v>13</v>
      </c>
      <c r="E9" s="38" t="s">
        <v>14</v>
      </c>
      <c r="F9" s="39" t="s">
        <v>15</v>
      </c>
      <c r="G9" s="40" t="s">
        <v>16</v>
      </c>
      <c r="H9" s="40" t="s">
        <v>17</v>
      </c>
      <c r="I9" s="39" t="s">
        <v>18</v>
      </c>
      <c r="J9" s="41" t="s">
        <v>19</v>
      </c>
      <c r="K9" s="25" t="s">
        <v>20</v>
      </c>
      <c r="L9" s="31" t="s">
        <v>21</v>
      </c>
      <c r="M9" s="32" t="s">
        <v>22</v>
      </c>
    </row>
    <row r="10" spans="2:13" ht="22.95" customHeight="1">
      <c r="B10" s="57">
        <f>DATE($B$3, $E$3, 1)</f>
        <v>46054</v>
      </c>
      <c r="C10" s="58">
        <f>B10</f>
        <v>46054</v>
      </c>
      <c r="D10" s="59"/>
      <c r="E10" s="60"/>
      <c r="F10" s="61"/>
      <c r="G10" s="51"/>
      <c r="H10" s="61"/>
      <c r="I10" s="52"/>
      <c r="J10" s="53"/>
      <c r="K10" s="54">
        <f t="shared" ref="K10:K40" si="0">F10-E10+J10-I10</f>
        <v>0</v>
      </c>
      <c r="L10" s="55">
        <f t="shared" ref="L10:L40" si="1">IF(OR(H10=":",H10=":"),":",H10-G10-TIMEVALUE("2:00"))</f>
        <v>-8.3333333333333329E-2</v>
      </c>
      <c r="M10" s="53">
        <f t="shared" ref="M10:M40" si="2">IF(K10+L10-"8:00"&lt;0,0,K10+L10-"8:00")</f>
        <v>0</v>
      </c>
    </row>
    <row r="11" spans="2:13" ht="22.95" customHeight="1">
      <c r="B11" s="69">
        <f>IF(MONTH($B$10)=MONTH($B$10+ROW()-ROW($B$10)),$B$10+ROW()-ROW($B$10),"")</f>
        <v>46055</v>
      </c>
      <c r="C11" s="70">
        <f t="shared" ref="C11:C40" si="3">B11</f>
        <v>46055</v>
      </c>
      <c r="D11" s="71"/>
      <c r="E11" s="62"/>
      <c r="F11" s="63"/>
      <c r="G11" s="64"/>
      <c r="H11" s="63"/>
      <c r="I11" s="72"/>
      <c r="J11" s="73"/>
      <c r="K11" s="67">
        <f t="shared" si="0"/>
        <v>0</v>
      </c>
      <c r="L11" s="68">
        <f t="shared" si="1"/>
        <v>-8.3333333333333329E-2</v>
      </c>
      <c r="M11" s="66">
        <f t="shared" si="2"/>
        <v>0</v>
      </c>
    </row>
    <row r="12" spans="2:13" ht="22.95" customHeight="1">
      <c r="B12" s="69">
        <f t="shared" ref="B12:B39" si="4">IF(MONTH($B$10)=MONTH($B$10+ROW()-ROW($B$10)),$B$10+ROW()-ROW($B$10),"")</f>
        <v>46056</v>
      </c>
      <c r="C12" s="70">
        <f t="shared" si="3"/>
        <v>46056</v>
      </c>
      <c r="D12" s="71"/>
      <c r="E12" s="74"/>
      <c r="F12" s="75"/>
      <c r="G12" s="64"/>
      <c r="H12" s="75"/>
      <c r="I12" s="65"/>
      <c r="J12" s="66"/>
      <c r="K12" s="67">
        <f t="shared" si="0"/>
        <v>0</v>
      </c>
      <c r="L12" s="68">
        <f t="shared" si="1"/>
        <v>-8.3333333333333329E-2</v>
      </c>
      <c r="M12" s="66">
        <f t="shared" si="2"/>
        <v>0</v>
      </c>
    </row>
    <row r="13" spans="2:13" ht="22.95" customHeight="1">
      <c r="B13" s="69">
        <f t="shared" si="4"/>
        <v>46057</v>
      </c>
      <c r="C13" s="70">
        <f t="shared" si="3"/>
        <v>46057</v>
      </c>
      <c r="D13" s="71"/>
      <c r="E13" s="74"/>
      <c r="F13" s="75"/>
      <c r="G13" s="64"/>
      <c r="H13" s="75"/>
      <c r="I13" s="65"/>
      <c r="J13" s="66"/>
      <c r="K13" s="67">
        <f t="shared" si="0"/>
        <v>0</v>
      </c>
      <c r="L13" s="68">
        <f t="shared" si="1"/>
        <v>-8.3333333333333329E-2</v>
      </c>
      <c r="M13" s="66">
        <f t="shared" si="2"/>
        <v>0</v>
      </c>
    </row>
    <row r="14" spans="2:13" ht="22.95" customHeight="1">
      <c r="B14" s="69">
        <f t="shared" si="4"/>
        <v>46058</v>
      </c>
      <c r="C14" s="70">
        <f t="shared" si="3"/>
        <v>46058</v>
      </c>
      <c r="D14" s="71"/>
      <c r="E14" s="74"/>
      <c r="F14" s="75"/>
      <c r="G14" s="64"/>
      <c r="H14" s="75"/>
      <c r="I14" s="65"/>
      <c r="J14" s="66"/>
      <c r="K14" s="67">
        <f t="shared" si="0"/>
        <v>0</v>
      </c>
      <c r="L14" s="68">
        <f t="shared" si="1"/>
        <v>-8.3333333333333329E-2</v>
      </c>
      <c r="M14" s="66">
        <f t="shared" si="2"/>
        <v>0</v>
      </c>
    </row>
    <row r="15" spans="2:13" ht="22.95" customHeight="1">
      <c r="B15" s="69">
        <f t="shared" si="4"/>
        <v>46059</v>
      </c>
      <c r="C15" s="70">
        <f t="shared" si="3"/>
        <v>46059</v>
      </c>
      <c r="D15" s="71"/>
      <c r="E15" s="74"/>
      <c r="F15" s="75"/>
      <c r="G15" s="64"/>
      <c r="H15" s="75"/>
      <c r="I15" s="65"/>
      <c r="J15" s="66"/>
      <c r="K15" s="67">
        <f t="shared" si="0"/>
        <v>0</v>
      </c>
      <c r="L15" s="68">
        <f t="shared" si="1"/>
        <v>-8.3333333333333329E-2</v>
      </c>
      <c r="M15" s="66">
        <f t="shared" si="2"/>
        <v>0</v>
      </c>
    </row>
    <row r="16" spans="2:13" ht="22.95" customHeight="1">
      <c r="B16" s="46">
        <f t="shared" si="4"/>
        <v>46060</v>
      </c>
      <c r="C16" s="47">
        <f t="shared" si="3"/>
        <v>46060</v>
      </c>
      <c r="D16" s="48"/>
      <c r="E16" s="49"/>
      <c r="F16" s="50"/>
      <c r="G16" s="51"/>
      <c r="H16" s="50"/>
      <c r="I16" s="52"/>
      <c r="J16" s="53"/>
      <c r="K16" s="54">
        <f t="shared" si="0"/>
        <v>0</v>
      </c>
      <c r="L16" s="55">
        <f t="shared" si="1"/>
        <v>-8.3333333333333329E-2</v>
      </c>
      <c r="M16" s="53">
        <f t="shared" si="2"/>
        <v>0</v>
      </c>
    </row>
    <row r="17" spans="2:13" ht="22.95" customHeight="1">
      <c r="B17" s="46">
        <f t="shared" si="4"/>
        <v>46061</v>
      </c>
      <c r="C17" s="47">
        <f t="shared" si="3"/>
        <v>46061</v>
      </c>
      <c r="D17" s="48"/>
      <c r="E17" s="49"/>
      <c r="F17" s="50"/>
      <c r="G17" s="51"/>
      <c r="H17" s="50"/>
      <c r="I17" s="52"/>
      <c r="J17" s="53"/>
      <c r="K17" s="54">
        <f t="shared" si="0"/>
        <v>0</v>
      </c>
      <c r="L17" s="55">
        <f t="shared" si="1"/>
        <v>-8.3333333333333329E-2</v>
      </c>
      <c r="M17" s="53">
        <f t="shared" si="2"/>
        <v>0</v>
      </c>
    </row>
    <row r="18" spans="2:13" ht="22.95" customHeight="1">
      <c r="B18" s="69">
        <f t="shared" si="4"/>
        <v>46062</v>
      </c>
      <c r="C18" s="70">
        <f t="shared" si="3"/>
        <v>46062</v>
      </c>
      <c r="D18" s="71"/>
      <c r="E18" s="74"/>
      <c r="F18" s="75"/>
      <c r="G18" s="76"/>
      <c r="H18" s="75"/>
      <c r="I18" s="65"/>
      <c r="J18" s="66"/>
      <c r="K18" s="67">
        <f t="shared" si="0"/>
        <v>0</v>
      </c>
      <c r="L18" s="68">
        <f t="shared" si="1"/>
        <v>-8.3333333333333329E-2</v>
      </c>
      <c r="M18" s="66">
        <f t="shared" si="2"/>
        <v>0</v>
      </c>
    </row>
    <row r="19" spans="2:13" ht="22.95" customHeight="1">
      <c r="B19" s="69">
        <f t="shared" si="4"/>
        <v>46063</v>
      </c>
      <c r="C19" s="70">
        <f t="shared" si="3"/>
        <v>46063</v>
      </c>
      <c r="D19" s="71"/>
      <c r="E19" s="74"/>
      <c r="F19" s="75"/>
      <c r="G19" s="64"/>
      <c r="H19" s="75"/>
      <c r="I19" s="65"/>
      <c r="J19" s="66"/>
      <c r="K19" s="67">
        <f t="shared" si="0"/>
        <v>0</v>
      </c>
      <c r="L19" s="68">
        <f t="shared" si="1"/>
        <v>-8.3333333333333329E-2</v>
      </c>
      <c r="M19" s="66">
        <f t="shared" si="2"/>
        <v>0</v>
      </c>
    </row>
    <row r="20" spans="2:13" ht="22.95" customHeight="1">
      <c r="B20" s="69">
        <f t="shared" si="4"/>
        <v>46064</v>
      </c>
      <c r="C20" s="70">
        <f t="shared" si="3"/>
        <v>46064</v>
      </c>
      <c r="D20" s="71"/>
      <c r="E20" s="74"/>
      <c r="F20" s="75"/>
      <c r="G20" s="64"/>
      <c r="H20" s="75"/>
      <c r="I20" s="65"/>
      <c r="J20" s="66"/>
      <c r="K20" s="67">
        <f t="shared" si="0"/>
        <v>0</v>
      </c>
      <c r="L20" s="68">
        <f t="shared" si="1"/>
        <v>-8.3333333333333329E-2</v>
      </c>
      <c r="M20" s="66">
        <f t="shared" si="2"/>
        <v>0</v>
      </c>
    </row>
    <row r="21" spans="2:13" ht="22.95" customHeight="1">
      <c r="B21" s="69">
        <f t="shared" si="4"/>
        <v>46065</v>
      </c>
      <c r="C21" s="70">
        <f t="shared" si="3"/>
        <v>46065</v>
      </c>
      <c r="D21" s="71"/>
      <c r="E21" s="74"/>
      <c r="F21" s="75"/>
      <c r="G21" s="64"/>
      <c r="H21" s="75"/>
      <c r="I21" s="65"/>
      <c r="J21" s="66"/>
      <c r="K21" s="67">
        <f t="shared" si="0"/>
        <v>0</v>
      </c>
      <c r="L21" s="68">
        <f t="shared" si="1"/>
        <v>-8.3333333333333329E-2</v>
      </c>
      <c r="M21" s="66">
        <f t="shared" si="2"/>
        <v>0</v>
      </c>
    </row>
    <row r="22" spans="2:13" ht="22.95" customHeight="1">
      <c r="B22" s="69">
        <f t="shared" si="4"/>
        <v>46066</v>
      </c>
      <c r="C22" s="70">
        <f t="shared" si="3"/>
        <v>46066</v>
      </c>
      <c r="D22" s="71"/>
      <c r="E22" s="74"/>
      <c r="F22" s="75"/>
      <c r="G22" s="64"/>
      <c r="H22" s="75"/>
      <c r="I22" s="65"/>
      <c r="J22" s="66"/>
      <c r="K22" s="67">
        <f t="shared" si="0"/>
        <v>0</v>
      </c>
      <c r="L22" s="68">
        <f t="shared" si="1"/>
        <v>-8.3333333333333329E-2</v>
      </c>
      <c r="M22" s="66">
        <f t="shared" si="2"/>
        <v>0</v>
      </c>
    </row>
    <row r="23" spans="2:13" ht="22.95" customHeight="1">
      <c r="B23" s="46">
        <f t="shared" si="4"/>
        <v>46067</v>
      </c>
      <c r="C23" s="47">
        <f t="shared" si="3"/>
        <v>46067</v>
      </c>
      <c r="D23" s="48"/>
      <c r="E23" s="49"/>
      <c r="F23" s="50"/>
      <c r="G23" s="51"/>
      <c r="H23" s="50"/>
      <c r="I23" s="52"/>
      <c r="J23" s="53"/>
      <c r="K23" s="54">
        <f t="shared" si="0"/>
        <v>0</v>
      </c>
      <c r="L23" s="55">
        <f t="shared" si="1"/>
        <v>-8.3333333333333329E-2</v>
      </c>
      <c r="M23" s="53">
        <f t="shared" si="2"/>
        <v>0</v>
      </c>
    </row>
    <row r="24" spans="2:13" ht="22.95" customHeight="1">
      <c r="B24" s="46">
        <f t="shared" si="4"/>
        <v>46068</v>
      </c>
      <c r="C24" s="47">
        <f t="shared" si="3"/>
        <v>46068</v>
      </c>
      <c r="D24" s="48"/>
      <c r="E24" s="49"/>
      <c r="F24" s="50"/>
      <c r="G24" s="51"/>
      <c r="H24" s="50"/>
      <c r="I24" s="52"/>
      <c r="J24" s="53"/>
      <c r="K24" s="54">
        <f t="shared" si="0"/>
        <v>0</v>
      </c>
      <c r="L24" s="55">
        <f t="shared" si="1"/>
        <v>-8.3333333333333329E-2</v>
      </c>
      <c r="M24" s="53">
        <f t="shared" si="2"/>
        <v>0</v>
      </c>
    </row>
    <row r="25" spans="2:13" ht="22.95" customHeight="1">
      <c r="B25" s="69">
        <f t="shared" si="4"/>
        <v>46069</v>
      </c>
      <c r="C25" s="70">
        <f t="shared" si="3"/>
        <v>46069</v>
      </c>
      <c r="D25" s="71"/>
      <c r="E25" s="74"/>
      <c r="F25" s="75"/>
      <c r="G25" s="64"/>
      <c r="H25" s="75"/>
      <c r="I25" s="65"/>
      <c r="J25" s="66"/>
      <c r="K25" s="67">
        <f t="shared" si="0"/>
        <v>0</v>
      </c>
      <c r="L25" s="68">
        <f t="shared" si="1"/>
        <v>-8.3333333333333329E-2</v>
      </c>
      <c r="M25" s="66">
        <f t="shared" si="2"/>
        <v>0</v>
      </c>
    </row>
    <row r="26" spans="2:13" ht="22.95" customHeight="1">
      <c r="B26" s="69">
        <f t="shared" si="4"/>
        <v>46070</v>
      </c>
      <c r="C26" s="70">
        <f t="shared" si="3"/>
        <v>46070</v>
      </c>
      <c r="D26" s="71"/>
      <c r="E26" s="74"/>
      <c r="F26" s="75"/>
      <c r="G26" s="64"/>
      <c r="H26" s="75"/>
      <c r="I26" s="65"/>
      <c r="J26" s="66"/>
      <c r="K26" s="67">
        <f t="shared" si="0"/>
        <v>0</v>
      </c>
      <c r="L26" s="68">
        <f t="shared" si="1"/>
        <v>-8.3333333333333329E-2</v>
      </c>
      <c r="M26" s="66">
        <f t="shared" si="2"/>
        <v>0</v>
      </c>
    </row>
    <row r="27" spans="2:13" ht="22.95" customHeight="1">
      <c r="B27" s="69">
        <f t="shared" si="4"/>
        <v>46071</v>
      </c>
      <c r="C27" s="70">
        <f t="shared" si="3"/>
        <v>46071</v>
      </c>
      <c r="D27" s="71"/>
      <c r="E27" s="74"/>
      <c r="F27" s="75"/>
      <c r="G27" s="64"/>
      <c r="H27" s="75"/>
      <c r="I27" s="65"/>
      <c r="J27" s="66"/>
      <c r="K27" s="67">
        <f t="shared" si="0"/>
        <v>0</v>
      </c>
      <c r="L27" s="68">
        <f t="shared" si="1"/>
        <v>-8.3333333333333329E-2</v>
      </c>
      <c r="M27" s="66">
        <f t="shared" si="2"/>
        <v>0</v>
      </c>
    </row>
    <row r="28" spans="2:13" ht="22.95" customHeight="1">
      <c r="B28" s="69">
        <f t="shared" si="4"/>
        <v>46072</v>
      </c>
      <c r="C28" s="70">
        <f t="shared" si="3"/>
        <v>46072</v>
      </c>
      <c r="D28" s="71"/>
      <c r="E28" s="74"/>
      <c r="F28" s="75"/>
      <c r="G28" s="64"/>
      <c r="H28" s="75"/>
      <c r="I28" s="65"/>
      <c r="J28" s="66"/>
      <c r="K28" s="67">
        <f t="shared" si="0"/>
        <v>0</v>
      </c>
      <c r="L28" s="68">
        <f t="shared" si="1"/>
        <v>-8.3333333333333329E-2</v>
      </c>
      <c r="M28" s="66">
        <f t="shared" si="2"/>
        <v>0</v>
      </c>
    </row>
    <row r="29" spans="2:13" ht="22.95" customHeight="1">
      <c r="B29" s="69">
        <f t="shared" si="4"/>
        <v>46073</v>
      </c>
      <c r="C29" s="70">
        <f t="shared" si="3"/>
        <v>46073</v>
      </c>
      <c r="D29" s="71"/>
      <c r="E29" s="74"/>
      <c r="F29" s="75"/>
      <c r="G29" s="64"/>
      <c r="H29" s="75"/>
      <c r="I29" s="65"/>
      <c r="J29" s="66"/>
      <c r="K29" s="67">
        <f t="shared" si="0"/>
        <v>0</v>
      </c>
      <c r="L29" s="68">
        <f t="shared" si="1"/>
        <v>-8.3333333333333329E-2</v>
      </c>
      <c r="M29" s="66">
        <f t="shared" si="2"/>
        <v>0</v>
      </c>
    </row>
    <row r="30" spans="2:13" ht="22.95" customHeight="1">
      <c r="B30" s="69">
        <f t="shared" si="4"/>
        <v>46074</v>
      </c>
      <c r="C30" s="70">
        <f t="shared" si="3"/>
        <v>46074</v>
      </c>
      <c r="D30" s="71"/>
      <c r="E30" s="74"/>
      <c r="F30" s="75"/>
      <c r="G30" s="64"/>
      <c r="H30" s="75"/>
      <c r="I30" s="65"/>
      <c r="J30" s="66"/>
      <c r="K30" s="67">
        <f t="shared" si="0"/>
        <v>0</v>
      </c>
      <c r="L30" s="68">
        <f t="shared" si="1"/>
        <v>-8.3333333333333329E-2</v>
      </c>
      <c r="M30" s="66">
        <f t="shared" si="2"/>
        <v>0</v>
      </c>
    </row>
    <row r="31" spans="2:13" ht="22.95" customHeight="1">
      <c r="B31" s="46">
        <f t="shared" si="4"/>
        <v>46075</v>
      </c>
      <c r="C31" s="47">
        <f t="shared" si="3"/>
        <v>46075</v>
      </c>
      <c r="D31" s="48"/>
      <c r="E31" s="49"/>
      <c r="F31" s="50"/>
      <c r="G31" s="51"/>
      <c r="H31" s="50"/>
      <c r="I31" s="52"/>
      <c r="J31" s="53"/>
      <c r="K31" s="54">
        <f t="shared" si="0"/>
        <v>0</v>
      </c>
      <c r="L31" s="55">
        <f t="shared" si="1"/>
        <v>-8.3333333333333329E-2</v>
      </c>
      <c r="M31" s="53">
        <f t="shared" si="2"/>
        <v>0</v>
      </c>
    </row>
    <row r="32" spans="2:13" ht="22.95" customHeight="1">
      <c r="B32" s="69">
        <f t="shared" si="4"/>
        <v>46076</v>
      </c>
      <c r="C32" s="70">
        <f t="shared" si="3"/>
        <v>46076</v>
      </c>
      <c r="D32" s="71"/>
      <c r="E32" s="74"/>
      <c r="F32" s="75"/>
      <c r="G32" s="64"/>
      <c r="H32" s="75"/>
      <c r="I32" s="65"/>
      <c r="J32" s="66"/>
      <c r="K32" s="67">
        <f t="shared" si="0"/>
        <v>0</v>
      </c>
      <c r="L32" s="68">
        <f t="shared" si="1"/>
        <v>-8.3333333333333329E-2</v>
      </c>
      <c r="M32" s="66">
        <f t="shared" si="2"/>
        <v>0</v>
      </c>
    </row>
    <row r="33" spans="2:13" ht="22.95" customHeight="1">
      <c r="B33" s="69">
        <f t="shared" si="4"/>
        <v>46077</v>
      </c>
      <c r="C33" s="70">
        <f t="shared" si="3"/>
        <v>46077</v>
      </c>
      <c r="D33" s="71"/>
      <c r="E33" s="74"/>
      <c r="F33" s="75"/>
      <c r="G33" s="64"/>
      <c r="H33" s="75"/>
      <c r="I33" s="65"/>
      <c r="J33" s="66"/>
      <c r="K33" s="67">
        <f t="shared" si="0"/>
        <v>0</v>
      </c>
      <c r="L33" s="68">
        <f t="shared" si="1"/>
        <v>-8.3333333333333329E-2</v>
      </c>
      <c r="M33" s="66">
        <f t="shared" si="2"/>
        <v>0</v>
      </c>
    </row>
    <row r="34" spans="2:13" ht="22.95" customHeight="1">
      <c r="B34" s="69">
        <f t="shared" si="4"/>
        <v>46078</v>
      </c>
      <c r="C34" s="70">
        <f t="shared" si="3"/>
        <v>46078</v>
      </c>
      <c r="D34" s="71"/>
      <c r="E34" s="74"/>
      <c r="F34" s="75"/>
      <c r="G34" s="64"/>
      <c r="H34" s="75"/>
      <c r="I34" s="65"/>
      <c r="J34" s="66"/>
      <c r="K34" s="67">
        <f t="shared" si="0"/>
        <v>0</v>
      </c>
      <c r="L34" s="68">
        <f t="shared" si="1"/>
        <v>-8.3333333333333329E-2</v>
      </c>
      <c r="M34" s="66">
        <f t="shared" si="2"/>
        <v>0</v>
      </c>
    </row>
    <row r="35" spans="2:13" ht="22.95" customHeight="1">
      <c r="B35" s="69">
        <f t="shared" si="4"/>
        <v>46079</v>
      </c>
      <c r="C35" s="70">
        <f t="shared" si="3"/>
        <v>46079</v>
      </c>
      <c r="D35" s="71"/>
      <c r="E35" s="74"/>
      <c r="F35" s="75"/>
      <c r="G35" s="64"/>
      <c r="H35" s="75"/>
      <c r="I35" s="65"/>
      <c r="J35" s="66"/>
      <c r="K35" s="67">
        <f t="shared" si="0"/>
        <v>0</v>
      </c>
      <c r="L35" s="68">
        <f t="shared" si="1"/>
        <v>-8.3333333333333329E-2</v>
      </c>
      <c r="M35" s="66">
        <f t="shared" si="2"/>
        <v>0</v>
      </c>
    </row>
    <row r="36" spans="2:13" ht="22.95" customHeight="1">
      <c r="B36" s="69">
        <f t="shared" si="4"/>
        <v>46080</v>
      </c>
      <c r="C36" s="70">
        <f t="shared" si="3"/>
        <v>46080</v>
      </c>
      <c r="D36" s="71"/>
      <c r="E36" s="74"/>
      <c r="F36" s="75"/>
      <c r="G36" s="64"/>
      <c r="H36" s="75"/>
      <c r="I36" s="65"/>
      <c r="J36" s="66"/>
      <c r="K36" s="67">
        <f t="shared" si="0"/>
        <v>0</v>
      </c>
      <c r="L36" s="68">
        <f t="shared" si="1"/>
        <v>-8.3333333333333329E-2</v>
      </c>
      <c r="M36" s="66">
        <f t="shared" si="2"/>
        <v>0</v>
      </c>
    </row>
    <row r="37" spans="2:13" ht="22.95" customHeight="1">
      <c r="B37" s="46">
        <f t="shared" si="4"/>
        <v>46081</v>
      </c>
      <c r="C37" s="47">
        <f t="shared" si="3"/>
        <v>46081</v>
      </c>
      <c r="D37" s="48"/>
      <c r="E37" s="49"/>
      <c r="F37" s="50"/>
      <c r="G37" s="51"/>
      <c r="H37" s="50"/>
      <c r="I37" s="52"/>
      <c r="J37" s="53"/>
      <c r="K37" s="54">
        <f t="shared" si="0"/>
        <v>0</v>
      </c>
      <c r="L37" s="55">
        <f t="shared" si="1"/>
        <v>-8.3333333333333329E-2</v>
      </c>
      <c r="M37" s="53">
        <f t="shared" si="2"/>
        <v>0</v>
      </c>
    </row>
    <row r="38" spans="2:13" ht="22.95" customHeight="1">
      <c r="B38" s="69" t="str">
        <f t="shared" si="4"/>
        <v/>
      </c>
      <c r="C38" s="70" t="str">
        <f t="shared" si="3"/>
        <v/>
      </c>
      <c r="D38" s="71"/>
      <c r="E38" s="74"/>
      <c r="F38" s="75"/>
      <c r="G38" s="64"/>
      <c r="H38" s="75"/>
      <c r="I38" s="65"/>
      <c r="J38" s="66"/>
      <c r="K38" s="67">
        <f t="shared" si="0"/>
        <v>0</v>
      </c>
      <c r="L38" s="68">
        <f t="shared" si="1"/>
        <v>-8.3333333333333329E-2</v>
      </c>
      <c r="M38" s="66">
        <f t="shared" si="2"/>
        <v>0</v>
      </c>
    </row>
    <row r="39" spans="2:13" ht="22.95" customHeight="1">
      <c r="B39" s="69" t="str">
        <f t="shared" si="4"/>
        <v/>
      </c>
      <c r="C39" s="70" t="str">
        <f t="shared" si="3"/>
        <v/>
      </c>
      <c r="D39" s="71"/>
      <c r="E39" s="74"/>
      <c r="F39" s="75"/>
      <c r="G39" s="64"/>
      <c r="H39" s="75"/>
      <c r="I39" s="65"/>
      <c r="J39" s="66"/>
      <c r="K39" s="67">
        <f t="shared" si="0"/>
        <v>0</v>
      </c>
      <c r="L39" s="68">
        <f t="shared" si="1"/>
        <v>-8.3333333333333329E-2</v>
      </c>
      <c r="M39" s="66">
        <f t="shared" si="2"/>
        <v>0</v>
      </c>
    </row>
    <row r="40" spans="2:13" ht="22.95" customHeight="1">
      <c r="B40" s="77" t="str">
        <f>IF(MONTH($B$10)=MONTH($B$10+ROW()-ROW($B$10)),$B$10+ROW()-ROW($B$10),"")</f>
        <v/>
      </c>
      <c r="C40" s="78" t="str">
        <f t="shared" si="3"/>
        <v/>
      </c>
      <c r="D40" s="79"/>
      <c r="E40" s="74"/>
      <c r="F40" s="75"/>
      <c r="G40" s="64"/>
      <c r="H40" s="75"/>
      <c r="I40" s="65"/>
      <c r="J40" s="80"/>
      <c r="K40" s="67">
        <f t="shared" si="0"/>
        <v>0</v>
      </c>
      <c r="L40" s="68">
        <f t="shared" si="1"/>
        <v>-8.3333333333333329E-2</v>
      </c>
      <c r="M40" s="66">
        <f t="shared" si="2"/>
        <v>0</v>
      </c>
    </row>
    <row r="41" spans="2:13" ht="22.95" customHeight="1">
      <c r="B41" s="88" t="s">
        <v>24</v>
      </c>
      <c r="C41" s="89"/>
      <c r="D41" s="89"/>
      <c r="E41" s="89"/>
      <c r="F41" s="89"/>
      <c r="G41" s="89"/>
      <c r="H41" s="89"/>
      <c r="I41" s="89"/>
      <c r="J41" s="89"/>
      <c r="K41" s="81">
        <f>SUMIF(K10:K40,"&gt;0")</f>
        <v>0</v>
      </c>
      <c r="L41" s="82">
        <f>SUMIF(L10:L40,"&gt;0")</f>
        <v>0</v>
      </c>
      <c r="M41" s="83">
        <f>SUMIF(M10:M40,"&gt;0")</f>
        <v>0</v>
      </c>
    </row>
    <row r="43" spans="2:13" ht="20.100000000000001" customHeight="1">
      <c r="G43" s="15" t="s">
        <v>25</v>
      </c>
      <c r="H43" s="16">
        <f>COUNTIF(D10:D40,"出勤")</f>
        <v>0</v>
      </c>
      <c r="I43" s="29"/>
      <c r="J43" s="5"/>
      <c r="L43" s="30"/>
    </row>
    <row r="44" spans="2:13" ht="20.100000000000001" customHeight="1">
      <c r="G44" s="17" t="s">
        <v>26</v>
      </c>
      <c r="H44" s="16">
        <f>COUNTIF(D10:D40,"欠勤")</f>
        <v>0</v>
      </c>
      <c r="I44" s="29"/>
      <c r="J44" s="5"/>
      <c r="L44" s="30"/>
    </row>
    <row r="45" spans="2:13" ht="20.100000000000001" customHeight="1">
      <c r="G45" s="15" t="s">
        <v>27</v>
      </c>
      <c r="H45" s="16">
        <f>COUNTIF(D10:D40,"有給")</f>
        <v>0</v>
      </c>
      <c r="I45" s="29"/>
      <c r="J45" s="5"/>
    </row>
  </sheetData>
  <mergeCells count="3">
    <mergeCell ref="B3:C3"/>
    <mergeCell ref="B9:C9"/>
    <mergeCell ref="B41:J41"/>
  </mergeCells>
  <phoneticPr fontId="1"/>
  <conditionalFormatting sqref="B10:D40">
    <cfRule type="expression" dxfId="3" priority="1">
      <formula>WEEKDAY(B10)=7</formula>
    </cfRule>
    <cfRule type="expression" dxfId="2" priority="2">
      <formula>WEEKDAY(B10)=1</formula>
    </cfRule>
  </conditionalFormatting>
  <dataValidations count="1">
    <dataValidation type="list" allowBlank="1" showInputMessage="1" showErrorMessage="1" sqref="D10:D40" xr:uid="{16F35488-E835-49F6-AA97-57257EDD307B}">
      <formula1>"出勤,欠勤,休日,有給"</formula1>
    </dataValidation>
  </dataValidation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7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E4F5E-0AB7-49F1-8174-408FFC4FB146}">
  <sheetPr>
    <pageSetUpPr fitToPage="1"/>
  </sheetPr>
  <dimension ref="B1:M45"/>
  <sheetViews>
    <sheetView showGridLines="0" zoomScale="115" zoomScaleNormal="115" workbookViewId="0">
      <selection activeCell="E11" sqref="E11"/>
    </sheetView>
  </sheetViews>
  <sheetFormatPr defaultColWidth="8.6640625" defaultRowHeight="13.2"/>
  <cols>
    <col min="1" max="1" width="2.6640625" customWidth="1"/>
    <col min="2" max="3" width="6.109375" customWidth="1"/>
    <col min="4" max="4" width="5.6640625" style="5" customWidth="1"/>
    <col min="5" max="6" width="17.6640625" customWidth="1"/>
    <col min="7" max="8" width="17.6640625" style="5" customWidth="1"/>
    <col min="9" max="10" width="17.6640625" customWidth="1"/>
    <col min="11" max="11" width="9.44140625" customWidth="1"/>
    <col min="12" max="12" width="9.44140625" style="5" customWidth="1"/>
    <col min="13" max="13" width="9.44140625" customWidth="1"/>
  </cols>
  <sheetData>
    <row r="1" spans="2:13" ht="31.95" customHeight="1">
      <c r="B1" s="34"/>
    </row>
    <row r="2" spans="2:13" ht="31.95" customHeight="1">
      <c r="B2" s="33"/>
    </row>
    <row r="3" spans="2:13" s="18" customFormat="1" ht="30.75" customHeight="1" thickBot="1">
      <c r="B3" s="85">
        <v>2026</v>
      </c>
      <c r="C3" s="85"/>
      <c r="D3" s="19" t="s">
        <v>4</v>
      </c>
      <c r="E3" s="19">
        <v>2</v>
      </c>
      <c r="F3" s="19" t="s">
        <v>5</v>
      </c>
      <c r="G3" s="42"/>
      <c r="H3" s="20"/>
      <c r="I3" s="21">
        <f>DATE(B3,E3,1)</f>
        <v>46054</v>
      </c>
      <c r="L3" s="20"/>
    </row>
    <row r="4" spans="2:13" s="1" customFormat="1" ht="23.1" customHeight="1" thickBot="1">
      <c r="B4" s="11"/>
      <c r="C4" s="11"/>
      <c r="D4" s="11"/>
      <c r="E4" s="11"/>
      <c r="F4" s="11"/>
      <c r="G4" s="7"/>
      <c r="H4" s="6"/>
      <c r="I4" s="27" t="s">
        <v>6</v>
      </c>
      <c r="J4" s="28" t="s">
        <v>49</v>
      </c>
      <c r="K4" s="23"/>
      <c r="L4" s="24"/>
    </row>
    <row r="5" spans="2:13" s="1" customFormat="1" ht="10.5" customHeight="1">
      <c r="B5" s="11"/>
      <c r="C5" s="11"/>
      <c r="D5" s="11"/>
      <c r="E5" s="11"/>
      <c r="F5" s="11"/>
      <c r="G5" s="7"/>
      <c r="H5" s="6"/>
      <c r="I5" s="22"/>
      <c r="J5" s="23"/>
      <c r="K5" s="23"/>
      <c r="L5" s="24"/>
    </row>
    <row r="6" spans="2:13" s="1" customFormat="1" ht="20.100000000000001" customHeight="1" thickBot="1">
      <c r="B6" s="2"/>
      <c r="C6" s="2"/>
      <c r="D6" s="4"/>
      <c r="E6" s="2"/>
      <c r="F6" s="2"/>
      <c r="G6" s="12" t="s">
        <v>7</v>
      </c>
      <c r="H6" s="13" t="s">
        <v>8</v>
      </c>
      <c r="I6" s="13" t="s">
        <v>9</v>
      </c>
      <c r="J6" s="8" t="s">
        <v>10</v>
      </c>
      <c r="K6" s="13"/>
      <c r="L6" s="8"/>
    </row>
    <row r="7" spans="2:13" s="10" customFormat="1" ht="20.100000000000001" customHeight="1" thickBot="1">
      <c r="C7" s="45"/>
      <c r="D7" s="10" t="s">
        <v>51</v>
      </c>
      <c r="E7" s="8"/>
      <c r="G7" s="14">
        <v>0.33333333333333331</v>
      </c>
      <c r="H7" s="14">
        <v>0.75</v>
      </c>
      <c r="I7" s="14">
        <v>8.3333333333333329E-2</v>
      </c>
      <c r="J7" s="14">
        <v>0.33333333333333331</v>
      </c>
      <c r="K7" s="26"/>
      <c r="L7" s="26"/>
      <c r="M7" s="9"/>
    </row>
    <row r="8" spans="2:13" ht="13.8" thickBot="1">
      <c r="B8" s="2"/>
      <c r="C8" s="2"/>
      <c r="D8" s="4"/>
      <c r="E8" s="2"/>
      <c r="F8" s="2"/>
      <c r="G8" s="4"/>
      <c r="H8" s="4"/>
      <c r="I8" s="2"/>
    </row>
    <row r="9" spans="2:13" ht="22.95" customHeight="1">
      <c r="B9" s="86" t="s">
        <v>12</v>
      </c>
      <c r="C9" s="87"/>
      <c r="D9" s="3" t="s">
        <v>13</v>
      </c>
      <c r="E9" s="38" t="s">
        <v>14</v>
      </c>
      <c r="F9" s="39" t="s">
        <v>15</v>
      </c>
      <c r="G9" s="40" t="s">
        <v>16</v>
      </c>
      <c r="H9" s="40" t="s">
        <v>17</v>
      </c>
      <c r="I9" s="39" t="s">
        <v>18</v>
      </c>
      <c r="J9" s="41" t="s">
        <v>19</v>
      </c>
      <c r="K9" s="25" t="s">
        <v>20</v>
      </c>
      <c r="L9" s="31" t="s">
        <v>21</v>
      </c>
      <c r="M9" s="32" t="s">
        <v>22</v>
      </c>
    </row>
    <row r="10" spans="2:13" ht="22.95" customHeight="1">
      <c r="B10" s="57">
        <f>DATE($B$3, $E$3, 1)</f>
        <v>46054</v>
      </c>
      <c r="C10" s="58">
        <f>B10</f>
        <v>46054</v>
      </c>
      <c r="D10" s="59"/>
      <c r="E10" s="60"/>
      <c r="F10" s="61"/>
      <c r="G10" s="51"/>
      <c r="H10" s="61"/>
      <c r="I10" s="52"/>
      <c r="J10" s="53"/>
      <c r="K10" s="54">
        <f>F10-E10+J10-H10</f>
        <v>0</v>
      </c>
      <c r="L10" s="55">
        <f t="shared" ref="L10:L40" si="0">IF(OR(H10=":",H10=":"),":",H10-G10-TIMEVALUE("2:00"))</f>
        <v>-8.3333333333333329E-2</v>
      </c>
      <c r="M10" s="53">
        <f t="shared" ref="M10:M40" si="1">IF(K10+L10-"8:00"&lt;0,0,K10+L10-"8:00")</f>
        <v>0</v>
      </c>
    </row>
    <row r="11" spans="2:13" ht="22.95" customHeight="1">
      <c r="B11" s="69">
        <f>IF(MONTH($B$10)=MONTH($B$10+ROW()-ROW($B$10)),$B$10+ROW()-ROW($B$10),"")</f>
        <v>46055</v>
      </c>
      <c r="C11" s="70">
        <f t="shared" ref="C11:C40" si="2">B11</f>
        <v>46055</v>
      </c>
      <c r="D11" s="71"/>
      <c r="E11" s="62"/>
      <c r="F11" s="63"/>
      <c r="G11" s="64"/>
      <c r="H11" s="63"/>
      <c r="I11" s="72"/>
      <c r="J11" s="73"/>
      <c r="K11" s="67">
        <f t="shared" ref="K11:K40" si="3">F11-E11+J11-H11</f>
        <v>0</v>
      </c>
      <c r="L11" s="68">
        <f t="shared" si="0"/>
        <v>-8.3333333333333329E-2</v>
      </c>
      <c r="M11" s="66">
        <f t="shared" si="1"/>
        <v>0</v>
      </c>
    </row>
    <row r="12" spans="2:13" ht="22.95" customHeight="1">
      <c r="B12" s="69">
        <f t="shared" ref="B12:B39" si="4">IF(MONTH($B$10)=MONTH($B$10+ROW()-ROW($B$10)),$B$10+ROW()-ROW($B$10),"")</f>
        <v>46056</v>
      </c>
      <c r="C12" s="70">
        <f t="shared" si="2"/>
        <v>46056</v>
      </c>
      <c r="D12" s="71"/>
      <c r="E12" s="74"/>
      <c r="F12" s="75"/>
      <c r="G12" s="64"/>
      <c r="H12" s="75"/>
      <c r="I12" s="65"/>
      <c r="J12" s="66"/>
      <c r="K12" s="67">
        <f t="shared" si="3"/>
        <v>0</v>
      </c>
      <c r="L12" s="68">
        <f t="shared" si="0"/>
        <v>-8.3333333333333329E-2</v>
      </c>
      <c r="M12" s="66">
        <f t="shared" si="1"/>
        <v>0</v>
      </c>
    </row>
    <row r="13" spans="2:13" ht="22.95" customHeight="1">
      <c r="B13" s="69">
        <f t="shared" si="4"/>
        <v>46057</v>
      </c>
      <c r="C13" s="70">
        <f t="shared" si="2"/>
        <v>46057</v>
      </c>
      <c r="D13" s="71"/>
      <c r="E13" s="74"/>
      <c r="F13" s="75"/>
      <c r="G13" s="64"/>
      <c r="H13" s="75"/>
      <c r="I13" s="65"/>
      <c r="J13" s="66"/>
      <c r="K13" s="67">
        <f t="shared" si="3"/>
        <v>0</v>
      </c>
      <c r="L13" s="68">
        <f t="shared" si="0"/>
        <v>-8.3333333333333329E-2</v>
      </c>
      <c r="M13" s="66">
        <f t="shared" si="1"/>
        <v>0</v>
      </c>
    </row>
    <row r="14" spans="2:13" ht="22.95" customHeight="1">
      <c r="B14" s="69">
        <f t="shared" si="4"/>
        <v>46058</v>
      </c>
      <c r="C14" s="70">
        <f t="shared" si="2"/>
        <v>46058</v>
      </c>
      <c r="D14" s="71"/>
      <c r="E14" s="74"/>
      <c r="F14" s="75"/>
      <c r="G14" s="64"/>
      <c r="H14" s="75"/>
      <c r="I14" s="65"/>
      <c r="J14" s="66"/>
      <c r="K14" s="67">
        <f t="shared" si="3"/>
        <v>0</v>
      </c>
      <c r="L14" s="68">
        <f t="shared" si="0"/>
        <v>-8.3333333333333329E-2</v>
      </c>
      <c r="M14" s="66">
        <f t="shared" si="1"/>
        <v>0</v>
      </c>
    </row>
    <row r="15" spans="2:13" ht="22.95" customHeight="1">
      <c r="B15" s="69">
        <f t="shared" si="4"/>
        <v>46059</v>
      </c>
      <c r="C15" s="70">
        <f t="shared" si="2"/>
        <v>46059</v>
      </c>
      <c r="D15" s="71"/>
      <c r="E15" s="74"/>
      <c r="F15" s="75"/>
      <c r="G15" s="64"/>
      <c r="H15" s="75"/>
      <c r="I15" s="65"/>
      <c r="J15" s="66"/>
      <c r="K15" s="67">
        <f t="shared" si="3"/>
        <v>0</v>
      </c>
      <c r="L15" s="68">
        <f t="shared" si="0"/>
        <v>-8.3333333333333329E-2</v>
      </c>
      <c r="M15" s="66">
        <f t="shared" si="1"/>
        <v>0</v>
      </c>
    </row>
    <row r="16" spans="2:13" ht="22.95" customHeight="1">
      <c r="B16" s="46">
        <f t="shared" si="4"/>
        <v>46060</v>
      </c>
      <c r="C16" s="47">
        <f t="shared" si="2"/>
        <v>46060</v>
      </c>
      <c r="D16" s="48"/>
      <c r="E16" s="49"/>
      <c r="F16" s="50"/>
      <c r="G16" s="51"/>
      <c r="H16" s="50"/>
      <c r="I16" s="52"/>
      <c r="J16" s="53"/>
      <c r="K16" s="54">
        <f t="shared" si="3"/>
        <v>0</v>
      </c>
      <c r="L16" s="55">
        <f t="shared" si="0"/>
        <v>-8.3333333333333329E-2</v>
      </c>
      <c r="M16" s="53">
        <f t="shared" si="1"/>
        <v>0</v>
      </c>
    </row>
    <row r="17" spans="2:13" ht="22.95" customHeight="1">
      <c r="B17" s="46">
        <f t="shared" si="4"/>
        <v>46061</v>
      </c>
      <c r="C17" s="47">
        <f t="shared" si="2"/>
        <v>46061</v>
      </c>
      <c r="D17" s="48"/>
      <c r="E17" s="49"/>
      <c r="F17" s="50"/>
      <c r="G17" s="51"/>
      <c r="H17" s="50"/>
      <c r="I17" s="52"/>
      <c r="J17" s="53"/>
      <c r="K17" s="54">
        <f t="shared" si="3"/>
        <v>0</v>
      </c>
      <c r="L17" s="55">
        <f t="shared" si="0"/>
        <v>-8.3333333333333329E-2</v>
      </c>
      <c r="M17" s="53">
        <f t="shared" si="1"/>
        <v>0</v>
      </c>
    </row>
    <row r="18" spans="2:13" ht="22.95" customHeight="1">
      <c r="B18" s="69">
        <f t="shared" si="4"/>
        <v>46062</v>
      </c>
      <c r="C18" s="70">
        <f t="shared" si="2"/>
        <v>46062</v>
      </c>
      <c r="D18" s="71"/>
      <c r="E18" s="74"/>
      <c r="F18" s="75"/>
      <c r="G18" s="76"/>
      <c r="H18" s="75"/>
      <c r="I18" s="65"/>
      <c r="J18" s="66"/>
      <c r="K18" s="67">
        <f t="shared" si="3"/>
        <v>0</v>
      </c>
      <c r="L18" s="68">
        <f t="shared" si="0"/>
        <v>-8.3333333333333329E-2</v>
      </c>
      <c r="M18" s="66">
        <f t="shared" si="1"/>
        <v>0</v>
      </c>
    </row>
    <row r="19" spans="2:13" ht="22.95" customHeight="1">
      <c r="B19" s="69">
        <f t="shared" si="4"/>
        <v>46063</v>
      </c>
      <c r="C19" s="70">
        <f t="shared" si="2"/>
        <v>46063</v>
      </c>
      <c r="D19" s="71"/>
      <c r="E19" s="74"/>
      <c r="F19" s="75"/>
      <c r="G19" s="64"/>
      <c r="H19" s="75"/>
      <c r="I19" s="65"/>
      <c r="J19" s="66"/>
      <c r="K19" s="67">
        <f t="shared" si="3"/>
        <v>0</v>
      </c>
      <c r="L19" s="68">
        <f t="shared" si="0"/>
        <v>-8.3333333333333329E-2</v>
      </c>
      <c r="M19" s="66">
        <f t="shared" si="1"/>
        <v>0</v>
      </c>
    </row>
    <row r="20" spans="2:13" ht="22.95" customHeight="1">
      <c r="B20" s="69">
        <f t="shared" si="4"/>
        <v>46064</v>
      </c>
      <c r="C20" s="70">
        <f t="shared" si="2"/>
        <v>46064</v>
      </c>
      <c r="D20" s="71"/>
      <c r="E20" s="74"/>
      <c r="F20" s="75"/>
      <c r="G20" s="64"/>
      <c r="H20" s="75"/>
      <c r="I20" s="65"/>
      <c r="J20" s="66"/>
      <c r="K20" s="67">
        <f t="shared" si="3"/>
        <v>0</v>
      </c>
      <c r="L20" s="68">
        <f t="shared" si="0"/>
        <v>-8.3333333333333329E-2</v>
      </c>
      <c r="M20" s="66">
        <f t="shared" si="1"/>
        <v>0</v>
      </c>
    </row>
    <row r="21" spans="2:13" ht="22.95" customHeight="1">
      <c r="B21" s="69">
        <f t="shared" si="4"/>
        <v>46065</v>
      </c>
      <c r="C21" s="70">
        <f t="shared" si="2"/>
        <v>46065</v>
      </c>
      <c r="D21" s="71"/>
      <c r="E21" s="74"/>
      <c r="F21" s="75"/>
      <c r="G21" s="64"/>
      <c r="H21" s="75"/>
      <c r="I21" s="65"/>
      <c r="J21" s="66"/>
      <c r="K21" s="67">
        <f t="shared" si="3"/>
        <v>0</v>
      </c>
      <c r="L21" s="68">
        <f t="shared" si="0"/>
        <v>-8.3333333333333329E-2</v>
      </c>
      <c r="M21" s="66">
        <f t="shared" si="1"/>
        <v>0</v>
      </c>
    </row>
    <row r="22" spans="2:13" ht="22.95" customHeight="1">
      <c r="B22" s="69">
        <f t="shared" si="4"/>
        <v>46066</v>
      </c>
      <c r="C22" s="70">
        <f t="shared" si="2"/>
        <v>46066</v>
      </c>
      <c r="D22" s="71"/>
      <c r="E22" s="74"/>
      <c r="F22" s="75"/>
      <c r="G22" s="64"/>
      <c r="H22" s="75"/>
      <c r="I22" s="65"/>
      <c r="J22" s="66"/>
      <c r="K22" s="67">
        <f t="shared" si="3"/>
        <v>0</v>
      </c>
      <c r="L22" s="68">
        <f t="shared" si="0"/>
        <v>-8.3333333333333329E-2</v>
      </c>
      <c r="M22" s="66">
        <f t="shared" si="1"/>
        <v>0</v>
      </c>
    </row>
    <row r="23" spans="2:13" ht="22.95" customHeight="1">
      <c r="B23" s="46">
        <f t="shared" si="4"/>
        <v>46067</v>
      </c>
      <c r="C23" s="47">
        <f t="shared" si="2"/>
        <v>46067</v>
      </c>
      <c r="D23" s="48"/>
      <c r="E23" s="49"/>
      <c r="F23" s="50"/>
      <c r="G23" s="51"/>
      <c r="H23" s="50"/>
      <c r="I23" s="52"/>
      <c r="J23" s="53"/>
      <c r="K23" s="54">
        <f t="shared" si="3"/>
        <v>0</v>
      </c>
      <c r="L23" s="55">
        <f t="shared" si="0"/>
        <v>-8.3333333333333329E-2</v>
      </c>
      <c r="M23" s="53">
        <f t="shared" si="1"/>
        <v>0</v>
      </c>
    </row>
    <row r="24" spans="2:13" ht="22.95" customHeight="1">
      <c r="B24" s="46">
        <f t="shared" si="4"/>
        <v>46068</v>
      </c>
      <c r="C24" s="47">
        <f t="shared" si="2"/>
        <v>46068</v>
      </c>
      <c r="D24" s="48"/>
      <c r="E24" s="49"/>
      <c r="F24" s="50"/>
      <c r="G24" s="51"/>
      <c r="H24" s="50"/>
      <c r="I24" s="52"/>
      <c r="J24" s="53"/>
      <c r="K24" s="54">
        <f t="shared" si="3"/>
        <v>0</v>
      </c>
      <c r="L24" s="55">
        <f t="shared" si="0"/>
        <v>-8.3333333333333329E-2</v>
      </c>
      <c r="M24" s="53">
        <f t="shared" si="1"/>
        <v>0</v>
      </c>
    </row>
    <row r="25" spans="2:13" ht="22.95" customHeight="1">
      <c r="B25" s="69">
        <f t="shared" si="4"/>
        <v>46069</v>
      </c>
      <c r="C25" s="70">
        <f t="shared" si="2"/>
        <v>46069</v>
      </c>
      <c r="D25" s="71"/>
      <c r="E25" s="74"/>
      <c r="F25" s="75"/>
      <c r="G25" s="64"/>
      <c r="H25" s="75"/>
      <c r="I25" s="65"/>
      <c r="J25" s="66"/>
      <c r="K25" s="67">
        <f t="shared" si="3"/>
        <v>0</v>
      </c>
      <c r="L25" s="68">
        <f t="shared" si="0"/>
        <v>-8.3333333333333329E-2</v>
      </c>
      <c r="M25" s="66">
        <f t="shared" si="1"/>
        <v>0</v>
      </c>
    </row>
    <row r="26" spans="2:13" ht="22.95" customHeight="1">
      <c r="B26" s="69">
        <f t="shared" si="4"/>
        <v>46070</v>
      </c>
      <c r="C26" s="70">
        <f t="shared" si="2"/>
        <v>46070</v>
      </c>
      <c r="D26" s="71"/>
      <c r="E26" s="74"/>
      <c r="F26" s="75"/>
      <c r="G26" s="64"/>
      <c r="H26" s="75"/>
      <c r="I26" s="65"/>
      <c r="J26" s="66"/>
      <c r="K26" s="67">
        <f t="shared" si="3"/>
        <v>0</v>
      </c>
      <c r="L26" s="68">
        <f t="shared" si="0"/>
        <v>-8.3333333333333329E-2</v>
      </c>
      <c r="M26" s="66">
        <f t="shared" si="1"/>
        <v>0</v>
      </c>
    </row>
    <row r="27" spans="2:13" ht="22.95" customHeight="1">
      <c r="B27" s="69">
        <f t="shared" si="4"/>
        <v>46071</v>
      </c>
      <c r="C27" s="70">
        <f t="shared" si="2"/>
        <v>46071</v>
      </c>
      <c r="D27" s="71"/>
      <c r="E27" s="74"/>
      <c r="F27" s="75"/>
      <c r="G27" s="64"/>
      <c r="H27" s="75"/>
      <c r="I27" s="65"/>
      <c r="J27" s="66"/>
      <c r="K27" s="67">
        <f t="shared" si="3"/>
        <v>0</v>
      </c>
      <c r="L27" s="68">
        <f t="shared" si="0"/>
        <v>-8.3333333333333329E-2</v>
      </c>
      <c r="M27" s="66">
        <f t="shared" si="1"/>
        <v>0</v>
      </c>
    </row>
    <row r="28" spans="2:13" ht="22.95" customHeight="1">
      <c r="B28" s="69">
        <f t="shared" si="4"/>
        <v>46072</v>
      </c>
      <c r="C28" s="70">
        <f t="shared" si="2"/>
        <v>46072</v>
      </c>
      <c r="D28" s="71"/>
      <c r="E28" s="74"/>
      <c r="F28" s="75"/>
      <c r="G28" s="64"/>
      <c r="H28" s="75"/>
      <c r="I28" s="65"/>
      <c r="J28" s="66"/>
      <c r="K28" s="67">
        <f t="shared" si="3"/>
        <v>0</v>
      </c>
      <c r="L28" s="68">
        <f t="shared" si="0"/>
        <v>-8.3333333333333329E-2</v>
      </c>
      <c r="M28" s="66">
        <f t="shared" si="1"/>
        <v>0</v>
      </c>
    </row>
    <row r="29" spans="2:13" ht="22.95" customHeight="1">
      <c r="B29" s="69">
        <f t="shared" si="4"/>
        <v>46073</v>
      </c>
      <c r="C29" s="70">
        <f t="shared" si="2"/>
        <v>46073</v>
      </c>
      <c r="D29" s="71"/>
      <c r="E29" s="74"/>
      <c r="F29" s="75"/>
      <c r="G29" s="64"/>
      <c r="H29" s="75"/>
      <c r="I29" s="65"/>
      <c r="J29" s="66"/>
      <c r="K29" s="67">
        <f t="shared" si="3"/>
        <v>0</v>
      </c>
      <c r="L29" s="68">
        <f t="shared" si="0"/>
        <v>-8.3333333333333329E-2</v>
      </c>
      <c r="M29" s="66">
        <f t="shared" si="1"/>
        <v>0</v>
      </c>
    </row>
    <row r="30" spans="2:13" ht="22.95" customHeight="1">
      <c r="B30" s="69">
        <f t="shared" si="4"/>
        <v>46074</v>
      </c>
      <c r="C30" s="70">
        <f t="shared" si="2"/>
        <v>46074</v>
      </c>
      <c r="D30" s="71"/>
      <c r="E30" s="74"/>
      <c r="F30" s="75"/>
      <c r="G30" s="64"/>
      <c r="H30" s="75"/>
      <c r="I30" s="65"/>
      <c r="J30" s="66"/>
      <c r="K30" s="67">
        <f t="shared" si="3"/>
        <v>0</v>
      </c>
      <c r="L30" s="68">
        <f t="shared" si="0"/>
        <v>-8.3333333333333329E-2</v>
      </c>
      <c r="M30" s="66">
        <f t="shared" si="1"/>
        <v>0</v>
      </c>
    </row>
    <row r="31" spans="2:13" ht="22.95" customHeight="1">
      <c r="B31" s="46">
        <f t="shared" si="4"/>
        <v>46075</v>
      </c>
      <c r="C31" s="47">
        <f t="shared" si="2"/>
        <v>46075</v>
      </c>
      <c r="D31" s="48"/>
      <c r="E31" s="49"/>
      <c r="F31" s="50"/>
      <c r="G31" s="51"/>
      <c r="H31" s="50"/>
      <c r="I31" s="52"/>
      <c r="J31" s="53"/>
      <c r="K31" s="54">
        <f t="shared" si="3"/>
        <v>0</v>
      </c>
      <c r="L31" s="55">
        <f t="shared" si="0"/>
        <v>-8.3333333333333329E-2</v>
      </c>
      <c r="M31" s="53">
        <f t="shared" si="1"/>
        <v>0</v>
      </c>
    </row>
    <row r="32" spans="2:13" ht="22.95" customHeight="1">
      <c r="B32" s="69">
        <f t="shared" si="4"/>
        <v>46076</v>
      </c>
      <c r="C32" s="70">
        <f t="shared" si="2"/>
        <v>46076</v>
      </c>
      <c r="D32" s="71"/>
      <c r="E32" s="74"/>
      <c r="F32" s="75"/>
      <c r="G32" s="64"/>
      <c r="H32" s="75"/>
      <c r="I32" s="65"/>
      <c r="J32" s="66"/>
      <c r="K32" s="67">
        <f t="shared" si="3"/>
        <v>0</v>
      </c>
      <c r="L32" s="68">
        <f t="shared" si="0"/>
        <v>-8.3333333333333329E-2</v>
      </c>
      <c r="M32" s="66">
        <f t="shared" si="1"/>
        <v>0</v>
      </c>
    </row>
    <row r="33" spans="2:13" ht="22.95" customHeight="1">
      <c r="B33" s="69">
        <f t="shared" si="4"/>
        <v>46077</v>
      </c>
      <c r="C33" s="70">
        <f t="shared" si="2"/>
        <v>46077</v>
      </c>
      <c r="D33" s="71"/>
      <c r="E33" s="74"/>
      <c r="F33" s="75"/>
      <c r="G33" s="64"/>
      <c r="H33" s="75"/>
      <c r="I33" s="65"/>
      <c r="J33" s="66"/>
      <c r="K33" s="67">
        <f t="shared" si="3"/>
        <v>0</v>
      </c>
      <c r="L33" s="68">
        <f t="shared" si="0"/>
        <v>-8.3333333333333329E-2</v>
      </c>
      <c r="M33" s="66">
        <f t="shared" si="1"/>
        <v>0</v>
      </c>
    </row>
    <row r="34" spans="2:13" ht="22.95" customHeight="1">
      <c r="B34" s="69">
        <f t="shared" si="4"/>
        <v>46078</v>
      </c>
      <c r="C34" s="70">
        <f t="shared" si="2"/>
        <v>46078</v>
      </c>
      <c r="D34" s="71"/>
      <c r="E34" s="74"/>
      <c r="F34" s="75"/>
      <c r="G34" s="64"/>
      <c r="H34" s="75"/>
      <c r="I34" s="65"/>
      <c r="J34" s="66"/>
      <c r="K34" s="67">
        <f t="shared" si="3"/>
        <v>0</v>
      </c>
      <c r="L34" s="68">
        <f t="shared" si="0"/>
        <v>-8.3333333333333329E-2</v>
      </c>
      <c r="M34" s="66">
        <f t="shared" si="1"/>
        <v>0</v>
      </c>
    </row>
    <row r="35" spans="2:13" ht="22.95" customHeight="1">
      <c r="B35" s="69">
        <f t="shared" si="4"/>
        <v>46079</v>
      </c>
      <c r="C35" s="70">
        <f t="shared" si="2"/>
        <v>46079</v>
      </c>
      <c r="D35" s="71"/>
      <c r="E35" s="74"/>
      <c r="F35" s="75"/>
      <c r="G35" s="64"/>
      <c r="H35" s="75"/>
      <c r="I35" s="65"/>
      <c r="J35" s="66"/>
      <c r="K35" s="67">
        <f t="shared" si="3"/>
        <v>0</v>
      </c>
      <c r="L35" s="68">
        <f t="shared" si="0"/>
        <v>-8.3333333333333329E-2</v>
      </c>
      <c r="M35" s="66">
        <f t="shared" si="1"/>
        <v>0</v>
      </c>
    </row>
    <row r="36" spans="2:13" ht="22.95" customHeight="1">
      <c r="B36" s="69">
        <f t="shared" si="4"/>
        <v>46080</v>
      </c>
      <c r="C36" s="70">
        <f t="shared" si="2"/>
        <v>46080</v>
      </c>
      <c r="D36" s="71"/>
      <c r="E36" s="74"/>
      <c r="F36" s="75"/>
      <c r="G36" s="64"/>
      <c r="H36" s="75"/>
      <c r="I36" s="65"/>
      <c r="J36" s="66"/>
      <c r="K36" s="67">
        <f t="shared" si="3"/>
        <v>0</v>
      </c>
      <c r="L36" s="68">
        <f t="shared" si="0"/>
        <v>-8.3333333333333329E-2</v>
      </c>
      <c r="M36" s="66">
        <f t="shared" si="1"/>
        <v>0</v>
      </c>
    </row>
    <row r="37" spans="2:13" ht="22.95" customHeight="1">
      <c r="B37" s="46">
        <f t="shared" si="4"/>
        <v>46081</v>
      </c>
      <c r="C37" s="47">
        <f t="shared" si="2"/>
        <v>46081</v>
      </c>
      <c r="D37" s="48"/>
      <c r="E37" s="49"/>
      <c r="F37" s="50"/>
      <c r="G37" s="51"/>
      <c r="H37" s="50"/>
      <c r="I37" s="52"/>
      <c r="J37" s="53"/>
      <c r="K37" s="54">
        <f t="shared" si="3"/>
        <v>0</v>
      </c>
      <c r="L37" s="55">
        <f t="shared" si="0"/>
        <v>-8.3333333333333329E-2</v>
      </c>
      <c r="M37" s="53">
        <f t="shared" si="1"/>
        <v>0</v>
      </c>
    </row>
    <row r="38" spans="2:13" ht="22.95" customHeight="1">
      <c r="B38" s="69" t="str">
        <f t="shared" si="4"/>
        <v/>
      </c>
      <c r="C38" s="70" t="str">
        <f t="shared" si="2"/>
        <v/>
      </c>
      <c r="D38" s="71"/>
      <c r="E38" s="74"/>
      <c r="F38" s="75"/>
      <c r="G38" s="64"/>
      <c r="H38" s="75"/>
      <c r="I38" s="65"/>
      <c r="J38" s="66"/>
      <c r="K38" s="67">
        <f t="shared" si="3"/>
        <v>0</v>
      </c>
      <c r="L38" s="68">
        <f t="shared" si="0"/>
        <v>-8.3333333333333329E-2</v>
      </c>
      <c r="M38" s="66">
        <f t="shared" si="1"/>
        <v>0</v>
      </c>
    </row>
    <row r="39" spans="2:13" ht="22.95" customHeight="1">
      <c r="B39" s="69" t="str">
        <f t="shared" si="4"/>
        <v/>
      </c>
      <c r="C39" s="70" t="str">
        <f t="shared" si="2"/>
        <v/>
      </c>
      <c r="D39" s="71"/>
      <c r="E39" s="74"/>
      <c r="F39" s="75"/>
      <c r="G39" s="64"/>
      <c r="H39" s="75"/>
      <c r="I39" s="65"/>
      <c r="J39" s="66"/>
      <c r="K39" s="67">
        <f t="shared" si="3"/>
        <v>0</v>
      </c>
      <c r="L39" s="68">
        <f t="shared" si="0"/>
        <v>-8.3333333333333329E-2</v>
      </c>
      <c r="M39" s="66">
        <f t="shared" si="1"/>
        <v>0</v>
      </c>
    </row>
    <row r="40" spans="2:13" ht="22.95" customHeight="1" thickBot="1">
      <c r="B40" s="77" t="str">
        <f>IF(MONTH($B$10)=MONTH($B$10+ROW()-ROW($B$10)),$B$10+ROW()-ROW($B$10),"")</f>
        <v/>
      </c>
      <c r="C40" s="78" t="str">
        <f t="shared" si="2"/>
        <v/>
      </c>
      <c r="D40" s="79"/>
      <c r="E40" s="74"/>
      <c r="F40" s="75"/>
      <c r="G40" s="64"/>
      <c r="H40" s="75"/>
      <c r="I40" s="65"/>
      <c r="J40" s="80"/>
      <c r="K40" s="67">
        <f t="shared" si="3"/>
        <v>0</v>
      </c>
      <c r="L40" s="68">
        <f t="shared" si="0"/>
        <v>-8.3333333333333329E-2</v>
      </c>
      <c r="M40" s="66">
        <f t="shared" si="1"/>
        <v>0</v>
      </c>
    </row>
    <row r="41" spans="2:13" ht="22.95" customHeight="1" thickBot="1">
      <c r="B41" s="88" t="s">
        <v>24</v>
      </c>
      <c r="C41" s="89"/>
      <c r="D41" s="89"/>
      <c r="E41" s="89"/>
      <c r="F41" s="89"/>
      <c r="G41" s="89"/>
      <c r="H41" s="89"/>
      <c r="I41" s="89"/>
      <c r="J41" s="89"/>
      <c r="K41" s="81">
        <f>SUMIF(K10:K40,"&gt;0")</f>
        <v>0</v>
      </c>
      <c r="L41" s="82">
        <f>SUMIF(L10:L40,"&gt;0")</f>
        <v>0</v>
      </c>
      <c r="M41" s="83">
        <f>SUMIF(M10:M40,"&gt;0")</f>
        <v>0</v>
      </c>
    </row>
    <row r="43" spans="2:13" ht="20.100000000000001" customHeight="1">
      <c r="G43" s="15" t="s">
        <v>25</v>
      </c>
      <c r="H43" s="16">
        <f>COUNTIF(D10:D40,"出勤")</f>
        <v>0</v>
      </c>
      <c r="I43" s="29"/>
      <c r="J43" s="5"/>
      <c r="L43" s="30"/>
    </row>
    <row r="44" spans="2:13" ht="20.100000000000001" customHeight="1">
      <c r="G44" s="17" t="s">
        <v>26</v>
      </c>
      <c r="H44" s="16">
        <f>COUNTIF(D10:D40,"欠勤")</f>
        <v>0</v>
      </c>
      <c r="I44" s="29"/>
      <c r="J44" s="5"/>
      <c r="L44" s="30"/>
    </row>
    <row r="45" spans="2:13" ht="20.100000000000001" customHeight="1">
      <c r="G45" s="15" t="s">
        <v>27</v>
      </c>
      <c r="H45" s="16">
        <f>COUNTIF(D10:D40,"有給")</f>
        <v>0</v>
      </c>
      <c r="I45" s="29"/>
      <c r="J45" s="5"/>
    </row>
  </sheetData>
  <mergeCells count="3">
    <mergeCell ref="B3:C3"/>
    <mergeCell ref="B9:C9"/>
    <mergeCell ref="B41:J41"/>
  </mergeCells>
  <phoneticPr fontId="1"/>
  <conditionalFormatting sqref="B10:D40">
    <cfRule type="expression" dxfId="1" priority="1">
      <formula>WEEKDAY(B10)=7</formula>
    </cfRule>
    <cfRule type="expression" dxfId="0" priority="2">
      <formula>WEEKDAY(B10)=1</formula>
    </cfRule>
  </conditionalFormatting>
  <dataValidations count="1">
    <dataValidation type="list" allowBlank="1" showInputMessage="1" showErrorMessage="1" sqref="D10:D40" xr:uid="{ECBC2423-D4D4-4F80-A2D0-1A7B480001E4}">
      <formula1>"出勤,欠勤,休日,有給"</formula1>
    </dataValidation>
  </dataValidation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79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D564F6048EA6A48853F2539F89CCC1C" ma:contentTypeVersion="10" ma:contentTypeDescription="新しいドキュメントを作成します。" ma:contentTypeScope="" ma:versionID="4a18b1098fb1c7aec704c19f64ba5879">
  <xsd:schema xmlns:xsd="http://www.w3.org/2001/XMLSchema" xmlns:xs="http://www.w3.org/2001/XMLSchema" xmlns:p="http://schemas.microsoft.com/office/2006/metadata/properties" xmlns:ns2="bc09eaf4-090a-49d3-be99-6522d234b050" targetNamespace="http://schemas.microsoft.com/office/2006/metadata/properties" ma:root="true" ma:fieldsID="ae196065f1733cb84a3a200b46807b8b" ns2:_="">
    <xsd:import namespace="bc09eaf4-090a-49d3-be99-6522d234b0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09eaf4-090a-49d3-be99-6522d234b0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41ae278e-5d78-4f9d-bb01-238a65ff16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09eaf4-090a-49d3-be99-6522d234b05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CCC6DB4-7A3A-4536-9F33-B6D368E76A04}"/>
</file>

<file path=customXml/itemProps2.xml><?xml version="1.0" encoding="utf-8"?>
<ds:datastoreItem xmlns:ds="http://schemas.openxmlformats.org/officeDocument/2006/customXml" ds:itemID="{3DC6A9E2-11A1-4989-BB5F-CD98B2CDC0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AE54B0-A5D8-4B4E-83FD-A9E3FEC38783}">
  <ds:schemaRefs>
    <ds:schemaRef ds:uri="http://schemas.microsoft.com/office/2006/metadata/properties"/>
    <ds:schemaRef ds:uri="http://schemas.microsoft.com/office/infopath/2007/PartnerControls"/>
    <ds:schemaRef ds:uri="bc09eaf4-090a-49d3-be99-6522d234b05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7</vt:i4>
      </vt:variant>
    </vt:vector>
  </HeadingPairs>
  <TitlesOfParts>
    <vt:vector size="14" baseType="lpstr">
      <vt:lpstr>作業員配布用</vt:lpstr>
      <vt:lpstr>日比野</vt:lpstr>
      <vt:lpstr>前田</vt:lpstr>
      <vt:lpstr>佐藤</vt:lpstr>
      <vt:lpstr>辻</vt:lpstr>
      <vt:lpstr>友梨</vt:lpstr>
      <vt:lpstr>加藤</vt:lpstr>
      <vt:lpstr>加藤!Print_Area</vt:lpstr>
      <vt:lpstr>佐藤!Print_Area</vt:lpstr>
      <vt:lpstr>作業員配布用!Print_Area</vt:lpstr>
      <vt:lpstr>前田!Print_Area</vt:lpstr>
      <vt:lpstr>辻!Print_Area</vt:lpstr>
      <vt:lpstr>日比野!Print_Area</vt:lpstr>
      <vt:lpstr>友梨!Print_Area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templates-navi.com</dc:creator>
  <cp:keywords/>
  <dc:description/>
  <cp:lastModifiedBy>日比野 友梨</cp:lastModifiedBy>
  <cp:revision/>
  <cp:lastPrinted>2025-05-23T05:47:17Z</cp:lastPrinted>
  <dcterms:created xsi:type="dcterms:W3CDTF">2014-10-13T08:38:48Z</dcterms:created>
  <dcterms:modified xsi:type="dcterms:W3CDTF">2026-01-23T05:11:52Z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0x0101009D564F6048EA6A48853F2539F89CCC1C</vt:lpwstr>
  </property>
  <property fmtid="{D5CDD505-2E9C-101B-9397-08002B2CF9AE}" pid="3" name="MediaServiceImageTags">
    <vt:lpwstr/>
  </property>
</Properties>
</file>