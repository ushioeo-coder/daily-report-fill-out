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xmlns:r="http://schemas.openxmlformats.org/officeDocument/2006/relationships" name="ひな型" sheetId="1" state="visible" r:id="rId1"/>
  </sheets>
  <definedNames>
    <definedName name="_xlnm.Print_Area" localSheetId="0">'ひな型'!$B$1:$J$41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0_ "/>
    <numFmt numFmtId="165" formatCode="0.0_ "/>
    <numFmt numFmtId="166" formatCode="[h]:mm;#;#"/>
    <numFmt numFmtId="167" formatCode="d"/>
    <numFmt numFmtId="168" formatCode="aaa"/>
    <numFmt numFmtId="169" formatCode="h:mm;;"/>
  </numFmts>
  <fonts count="23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6"/>
      <scheme val="minor"/>
    </font>
    <font>
      <name val="ＭＳ ゴシック"/>
      <charset val="128"/>
      <family val="3"/>
      <color theme="1"/>
      <sz val="16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theme="1"/>
      <sz val="16"/>
    </font>
    <font>
      <name val="ＭＳ Ｐゴシック"/>
      <charset val="128"/>
      <family val="3"/>
      <color theme="1"/>
      <sz val="11"/>
      <scheme val="minor"/>
    </font>
    <font>
      <name val="ＭＳ ゴシック"/>
      <charset val="128"/>
      <family val="3"/>
      <b val="1"/>
      <color theme="1"/>
      <sz val="12"/>
    </font>
    <font>
      <name val="BIZ UDゴシック"/>
      <charset val="128"/>
      <family val="3"/>
      <color theme="1"/>
      <sz val="10"/>
    </font>
    <font>
      <name val="BIZ UDゴシック"/>
      <charset val="128"/>
      <family val="3"/>
      <color theme="1"/>
      <sz val="11"/>
    </font>
    <font>
      <name val="BIZ UDゴシック"/>
      <charset val="128"/>
      <family val="3"/>
      <color theme="1"/>
      <sz val="9"/>
    </font>
    <font>
      <name val="BIZ UDPゴシック"/>
      <charset val="128"/>
      <family val="3"/>
      <color theme="1"/>
      <sz val="10"/>
    </font>
    <font>
      <name val="BIZ UDPゴシック"/>
      <charset val="128"/>
      <family val="3"/>
      <color theme="1"/>
      <sz val="18"/>
    </font>
    <font>
      <name val="BIZ UDPゴシック"/>
      <charset val="128"/>
      <family val="3"/>
      <b val="1"/>
      <color theme="1"/>
      <sz val="18"/>
    </font>
    <font>
      <name val="BIZ UDPゴシック"/>
      <charset val="128"/>
      <family val="3"/>
      <color theme="0"/>
      <sz val="18"/>
    </font>
    <font>
      <name val="BIZ UDPゴシック"/>
      <charset val="128"/>
      <family val="3"/>
      <color theme="1"/>
      <sz val="14"/>
    </font>
    <font>
      <name val="MS P ゴシック"/>
      <charset val="128"/>
      <family val="3"/>
      <color indexed="81"/>
      <sz val="9"/>
    </font>
    <font>
      <name val="ＭＳ ゴシック"/>
      <charset val="128"/>
      <family val="3"/>
      <color theme="1"/>
      <sz val="9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3"/>
      <b val="1"/>
      <color theme="1"/>
      <sz val="28"/>
      <scheme val="minor"/>
    </font>
    <font>
      <name val="ＭＳ Ｐゴシック"/>
      <charset val="128"/>
      <family val="2"/>
      <color theme="1"/>
      <sz val="8"/>
      <scheme val="minor"/>
    </font>
    <font>
      <name val="ＭＳ Ｐゴシック"/>
      <charset val="128"/>
      <family val="3"/>
      <color theme="1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00B0F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rgb="FF000000"/>
      </right>
      <top style="medium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medium">
        <color auto="1"/>
      </top>
      <bottom style="thin">
        <color auto="1"/>
      </bottom>
      <diagonal/>
    </border>
    <border>
      <left style="dotted">
        <color rgb="FF000000"/>
      </left>
      <right style="medium">
        <color rgb="FF000000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1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20" fontId="9" fillId="0" borderId="17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0" fillId="0" borderId="4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4" fontId="14" fillId="0" borderId="0" applyAlignment="1" pivotButton="0" quotePrefix="0" xfId="0">
      <alignment vertical="center"/>
    </xf>
    <xf numFmtId="14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7" fillId="2" borderId="23" applyAlignment="1" pivotButton="0" quotePrefix="0" xfId="0">
      <alignment horizontal="center" vertical="center"/>
    </xf>
    <xf numFmtId="20" fontId="9" fillId="0" borderId="0" applyAlignment="1" pivotButton="0" quotePrefix="0" xfId="0">
      <alignment horizontal="center" vertical="center"/>
    </xf>
    <xf numFmtId="14" fontId="15" fillId="0" borderId="17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18" fillId="3" borderId="26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64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17" fillId="2" borderId="35" applyAlignment="1" pivotButton="0" quotePrefix="0" xfId="0">
      <alignment horizontal="center" vertical="center"/>
    </xf>
    <xf numFmtId="0" fontId="17" fillId="2" borderId="36" applyAlignment="1" pivotButton="0" quotePrefix="0" xfId="0">
      <alignment horizontal="center" vertical="center"/>
    </xf>
    <xf numFmtId="0" fontId="17" fillId="3" borderId="36" applyAlignment="1" pivotButton="0" quotePrefix="0" xfId="0">
      <alignment horizontal="center" vertical="center"/>
    </xf>
    <xf numFmtId="0" fontId="17" fillId="2" borderId="3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8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167" fontId="4" fillId="5" borderId="2" applyAlignment="1" pivotButton="0" quotePrefix="0" xfId="0">
      <alignment horizontal="center" vertical="center" wrapText="1"/>
    </xf>
    <xf numFmtId="168" fontId="4" fillId="5" borderId="3" applyAlignment="1" pivotButton="0" quotePrefix="0" xfId="0">
      <alignment horizontal="center" vertical="center"/>
    </xf>
    <xf numFmtId="168" fontId="4" fillId="5" borderId="4" applyAlignment="1" pivotButton="0" quotePrefix="0" xfId="0">
      <alignment horizontal="center" vertical="center"/>
    </xf>
    <xf numFmtId="166" fontId="0" fillId="0" borderId="3" applyAlignment="1" pivotButton="0" quotePrefix="0" xfId="0">
      <alignment vertical="center"/>
    </xf>
    <xf numFmtId="167" fontId="4" fillId="5" borderId="5" applyAlignment="1" pivotButton="0" quotePrefix="0" xfId="0">
      <alignment horizontal="center" vertical="center"/>
    </xf>
    <xf numFmtId="168" fontId="4" fillId="5" borderId="6" applyAlignment="1" pivotButton="0" quotePrefix="0" xfId="0">
      <alignment horizontal="center" vertical="center"/>
    </xf>
    <xf numFmtId="168" fontId="4" fillId="5" borderId="7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 wrapText="1"/>
    </xf>
    <xf numFmtId="168" fontId="4" fillId="0" borderId="3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7" fontId="4" fillId="0" borderId="18" applyAlignment="1" pivotButton="0" quotePrefix="0" xfId="0">
      <alignment horizontal="center" vertical="center" wrapText="1"/>
    </xf>
    <xf numFmtId="168" fontId="4" fillId="0" borderId="19" applyAlignment="1" pivotButton="0" quotePrefix="0" xfId="0">
      <alignment horizontal="center" vertical="center"/>
    </xf>
    <xf numFmtId="168" fontId="4" fillId="0" borderId="20" applyAlignment="1" pivotButton="0" quotePrefix="0" xfId="0">
      <alignment horizontal="center" vertical="center"/>
    </xf>
    <xf numFmtId="166" fontId="0" fillId="0" borderId="33" applyAlignment="1" pivotButton="0" quotePrefix="0" xfId="0">
      <alignment horizontal="center" vertical="center"/>
    </xf>
    <xf numFmtId="166" fontId="0" fillId="0" borderId="22" applyAlignment="1" pivotButton="0" quotePrefix="0" xfId="0">
      <alignment horizontal="center" vertical="center"/>
    </xf>
    <xf numFmtId="166" fontId="0" fillId="0" borderId="28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166" fontId="4" fillId="0" borderId="11" applyAlignment="1" pivotButton="0" quotePrefix="0" xfId="0">
      <alignment horizontal="center" vertical="center"/>
    </xf>
    <xf numFmtId="166" fontId="4" fillId="0" borderId="24" applyAlignment="1" pivotButton="0" quotePrefix="0" xfId="0">
      <alignment horizontal="center" vertical="center"/>
    </xf>
    <xf numFmtId="169" fontId="4" fillId="0" borderId="13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166" fontId="4" fillId="0" borderId="12" applyAlignment="1" pivotButton="0" quotePrefix="0" xfId="0">
      <alignment horizontal="center" vertical="center"/>
    </xf>
    <xf numFmtId="166" fontId="4" fillId="0" borderId="25" applyAlignment="1" pivotButton="0" quotePrefix="0" xfId="0">
      <alignment horizontal="center" vertical="center"/>
    </xf>
    <xf numFmtId="20" fontId="4" fillId="0" borderId="30" applyAlignment="1" pivotButton="0" quotePrefix="0" xfId="0">
      <alignment horizontal="center" vertical="center"/>
    </xf>
    <xf numFmtId="20" fontId="4" fillId="0" borderId="31" applyAlignment="1" pivotButton="0" quotePrefix="0" xfId="0">
      <alignment horizontal="center" vertical="center"/>
    </xf>
    <xf numFmtId="20" fontId="4" fillId="0" borderId="2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0" fontId="0" fillId="0" borderId="3" applyAlignment="1" pivotButton="0" quotePrefix="0" xfId="0">
      <alignment horizontal="left" vertical="center"/>
    </xf>
    <xf numFmtId="0" fontId="21" fillId="0" borderId="3" applyAlignment="1" pivotButton="0" quotePrefix="0" xfId="0">
      <alignment horizontal="left" vertical="center"/>
    </xf>
    <xf numFmtId="0" fontId="2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8" applyAlignment="1" pivotButton="0" quotePrefix="0" xfId="0">
      <alignment horizontal="left" vertical="center"/>
    </xf>
    <xf numFmtId="0" fontId="0" fillId="0" borderId="0" pivotButton="0" quotePrefix="0" xfId="0"/>
    <xf numFmtId="0" fontId="4" fillId="2" borderId="45" applyAlignment="1" pivotButton="0" quotePrefix="0" xfId="0">
      <alignment horizontal="center" vertical="center"/>
    </xf>
    <xf numFmtId="0" fontId="0" fillId="0" borderId="8" pivotButton="0" quotePrefix="0" xfId="0"/>
    <xf numFmtId="167" fontId="4" fillId="5" borderId="5" applyAlignment="1" pivotButton="0" quotePrefix="0" xfId="0">
      <alignment horizontal="center" vertical="center"/>
    </xf>
    <xf numFmtId="168" fontId="4" fillId="5" borderId="6" applyAlignment="1" pivotButton="0" quotePrefix="0" xfId="0">
      <alignment horizontal="center" vertical="center"/>
    </xf>
    <xf numFmtId="168" fontId="4" fillId="5" borderId="7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166" fontId="4" fillId="0" borderId="11" applyAlignment="1" pivotButton="0" quotePrefix="0" xfId="0">
      <alignment horizontal="center" vertical="center"/>
    </xf>
    <xf numFmtId="166" fontId="4" fillId="0" borderId="24" applyAlignment="1" pivotButton="0" quotePrefix="0" xfId="0">
      <alignment horizontal="center" vertical="center"/>
    </xf>
    <xf numFmtId="169" fontId="4" fillId="0" borderId="13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 wrapText="1"/>
    </xf>
    <xf numFmtId="168" fontId="4" fillId="0" borderId="3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166" fontId="4" fillId="0" borderId="12" applyAlignment="1" pivotButton="0" quotePrefix="0" xfId="0">
      <alignment horizontal="center" vertical="center"/>
    </xf>
    <xf numFmtId="167" fontId="4" fillId="5" borderId="2" applyAlignment="1" pivotButton="0" quotePrefix="0" xfId="0">
      <alignment horizontal="center" vertical="center" wrapText="1"/>
    </xf>
    <xf numFmtId="168" fontId="4" fillId="5" borderId="3" applyAlignment="1" pivotButton="0" quotePrefix="0" xfId="0">
      <alignment horizontal="center" vertical="center"/>
    </xf>
    <xf numFmtId="168" fontId="4" fillId="5" borderId="4" applyAlignment="1" pivotButton="0" quotePrefix="0" xfId="0">
      <alignment horizontal="center" vertical="center"/>
    </xf>
    <xf numFmtId="166" fontId="4" fillId="0" borderId="25" applyAlignment="1" pivotButton="0" quotePrefix="0" xfId="0">
      <alignment horizontal="center" vertical="center"/>
    </xf>
    <xf numFmtId="167" fontId="4" fillId="0" borderId="18" applyAlignment="1" pivotButton="0" quotePrefix="0" xfId="0">
      <alignment horizontal="center" vertical="center" wrapText="1"/>
    </xf>
    <xf numFmtId="168" fontId="4" fillId="0" borderId="19" applyAlignment="1" pivotButton="0" quotePrefix="0" xfId="0">
      <alignment horizontal="center" vertical="center"/>
    </xf>
    <xf numFmtId="168" fontId="4" fillId="0" borderId="20" applyAlignment="1" pivotButton="0" quotePrefix="0" xfId="0">
      <alignment horizontal="center" vertical="center"/>
    </xf>
    <xf numFmtId="0" fontId="0" fillId="0" borderId="16" pivotButton="0" quotePrefix="0" xfId="0"/>
    <xf numFmtId="166" fontId="0" fillId="0" borderId="33" applyAlignment="1" pivotButton="0" quotePrefix="0" xfId="0">
      <alignment horizontal="center" vertical="center"/>
    </xf>
    <xf numFmtId="166" fontId="0" fillId="0" borderId="22" applyAlignment="1" pivotButton="0" quotePrefix="0" xfId="0">
      <alignment horizontal="center" vertical="center"/>
    </xf>
    <xf numFmtId="166" fontId="0" fillId="0" borderId="28" applyAlignment="1" pivotButton="0" quotePrefix="0" xfId="0">
      <alignment horizontal="center" vertical="center"/>
    </xf>
    <xf numFmtId="0" fontId="0" fillId="0" borderId="21" pivotButton="0" quotePrefix="0" xfId="0"/>
    <xf numFmtId="166" fontId="0" fillId="0" borderId="3" applyAlignment="1" pivotButton="0" quotePrefix="0" xfId="0">
      <alignment vertical="center"/>
    </xf>
    <xf numFmtId="0" fontId="0" fillId="0" borderId="44" pivotButton="0" quotePrefix="0" xfId="0"/>
    <xf numFmtId="166" fontId="0" fillId="0" borderId="38" applyAlignment="1" pivotButton="0" quotePrefix="0" xfId="0">
      <alignment vertical="center"/>
    </xf>
    <xf numFmtId="0" fontId="0" fillId="0" borderId="34" pivotButton="0" quotePrefix="0" xfId="0"/>
    <xf numFmtId="0" fontId="0" fillId="0" borderId="6" pivotButton="0" quotePrefix="0" xfId="0"/>
    <xf numFmtId="164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</cellXfs>
  <cellStyles count="1">
    <cellStyle name="標準" xfId="0" builtinId="0"/>
  </cellStyles>
  <dxfs count="2">
    <dxf>
      <font>
        <color rgb="FFC00000"/>
      </font>
      <fill>
        <patternFill>
          <bgColor theme="5" tint="0.5999633777886288"/>
        </patternFill>
      </fill>
    </dxf>
    <dxf>
      <font>
        <color rgb="FF0070C0"/>
      </font>
      <fill>
        <patternFill>
          <bgColor theme="8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yhibi</author>
  </authors>
  <commentList>
    <comment ref="M41" authorId="0" shapeId="0">
      <text>
        <t xml:space="preserve">みなし残業として毎月30時間分を支給。
残業が30時間以上の場合は実質残業時間分を支給。
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O55"/>
  <sheetViews>
    <sheetView showGridLines="0" tabSelected="1" zoomScale="115" zoomScaleNormal="115" workbookViewId="0">
      <selection activeCell="I39" sqref="I39"/>
    </sheetView>
  </sheetViews>
  <sheetFormatPr baseColWidth="8" defaultColWidth="8.6328125" defaultRowHeight="13"/>
  <cols>
    <col width="2.6328125" customWidth="1" style="83" min="1" max="1"/>
    <col width="6.08984375" customWidth="1" style="83" min="2" max="3"/>
    <col width="5.6328125" customWidth="1" style="5" min="4" max="4"/>
    <col width="17.6328125" customWidth="1" style="83" min="5" max="6"/>
    <col width="17.6328125" customWidth="1" style="5" min="7" max="8"/>
    <col width="17.6328125" customWidth="1" style="83" min="9" max="10"/>
    <col width="9.453125" customWidth="1" style="83" min="11" max="11"/>
    <col width="9.453125" customWidth="1" style="5" min="12" max="12"/>
    <col width="9.453125" customWidth="1" style="83" min="13" max="13"/>
  </cols>
  <sheetData>
    <row r="1" ht="32" customHeight="1" s="83">
      <c r="B1" s="33" t="n"/>
    </row>
    <row r="2" ht="32" customHeight="1" s="83">
      <c r="B2" s="32" t="n"/>
    </row>
    <row r="3" ht="30.75" customFormat="1" customHeight="1" s="18" thickBot="1">
      <c r="B3" s="72" t="n">
        <v>2026</v>
      </c>
      <c r="D3" s="19" t="inlineStr">
        <is>
          <t>年</t>
        </is>
      </c>
      <c r="E3" s="19" t="n">
        <v>2</v>
      </c>
      <c r="F3" s="19" t="inlineStr">
        <is>
          <t>月　出勤簿</t>
        </is>
      </c>
      <c r="G3" s="72" t="n"/>
      <c r="H3" s="20" t="n"/>
      <c r="I3" s="21">
        <f>DATE(B3,E3,1)</f>
        <v/>
      </c>
      <c r="L3" s="20" t="n"/>
    </row>
    <row r="4" ht="23.15" customFormat="1" customHeight="1" s="1" thickBot="1">
      <c r="B4" s="11" t="n"/>
      <c r="C4" s="11" t="n"/>
      <c r="D4" s="11" t="n"/>
      <c r="E4" s="11" t="n"/>
      <c r="F4" s="11" t="n"/>
      <c r="G4" s="7" t="n"/>
      <c r="H4" s="6" t="n"/>
      <c r="I4" s="27" t="inlineStr">
        <is>
          <t>氏名</t>
        </is>
      </c>
      <c r="J4" s="28" t="n"/>
      <c r="K4" s="23" t="n"/>
      <c r="L4" s="24" t="n"/>
    </row>
    <row r="5" ht="10.5" customFormat="1" customHeight="1" s="1">
      <c r="B5" s="11" t="n"/>
      <c r="C5" s="11" t="n"/>
      <c r="D5" s="11" t="n"/>
      <c r="E5" s="11" t="n"/>
      <c r="F5" s="11" t="n"/>
      <c r="G5" s="7" t="n"/>
      <c r="H5" s="6" t="n"/>
      <c r="I5" s="22" t="n"/>
      <c r="J5" s="23" t="n"/>
      <c r="K5" s="23" t="n"/>
      <c r="L5" s="24" t="n"/>
    </row>
    <row r="6" ht="20.15" customFormat="1" customHeight="1" s="1" thickBot="1">
      <c r="B6" s="2" t="n"/>
      <c r="C6" s="2" t="n"/>
      <c r="D6" s="4" t="n"/>
      <c r="E6" s="2" t="n"/>
      <c r="F6" s="2" t="n"/>
      <c r="G6" s="12" t="inlineStr">
        <is>
          <t>勤務開始</t>
        </is>
      </c>
      <c r="H6" s="13" t="inlineStr">
        <is>
          <t>勤務終了</t>
        </is>
      </c>
      <c r="I6" s="13" t="inlineStr">
        <is>
          <t>休憩時間</t>
        </is>
      </c>
      <c r="J6" s="8" t="inlineStr">
        <is>
          <t>所定時間</t>
        </is>
      </c>
      <c r="K6" s="13" t="n"/>
      <c r="L6" s="8" t="n"/>
    </row>
    <row r="7" ht="20.15" customFormat="1" customHeight="1" s="10" thickBot="1">
      <c r="C7" s="44" t="n"/>
      <c r="D7" s="10" t="inlineStr">
        <is>
          <t>青色部分は所定休</t>
        </is>
      </c>
      <c r="E7" s="8" t="n"/>
      <c r="G7" s="14" t="n">
        <v>0.3333333333333333</v>
      </c>
      <c r="H7" s="14" t="n">
        <v>0.75</v>
      </c>
      <c r="I7" s="14" t="n">
        <v>0.08333333333333333</v>
      </c>
      <c r="J7" s="14" t="n">
        <v>0.3333333333333333</v>
      </c>
      <c r="K7" s="26" t="n"/>
      <c r="L7" s="26" t="n"/>
      <c r="M7" s="9" t="n"/>
    </row>
    <row r="8" ht="13.5" customHeight="1" s="83" thickBot="1">
      <c r="B8" s="2" t="n"/>
      <c r="C8" s="2" t="n"/>
      <c r="D8" s="4" t="n"/>
      <c r="E8" s="2" t="n"/>
      <c r="F8" s="2" t="n"/>
      <c r="G8" s="4" t="n"/>
      <c r="H8" s="4" t="n"/>
      <c r="I8" s="2" t="n"/>
    </row>
    <row r="9" ht="23" customHeight="1" s="83">
      <c r="B9" s="84" t="inlineStr">
        <is>
          <t>日付</t>
        </is>
      </c>
      <c r="C9" s="85" t="n"/>
      <c r="D9" s="3" t="inlineStr">
        <is>
          <t>区分</t>
        </is>
      </c>
      <c r="E9" s="37" t="inlineStr">
        <is>
          <t>①出勤時刻</t>
        </is>
      </c>
      <c r="F9" s="38" t="inlineStr">
        <is>
          <t>②現場到着時刻</t>
        </is>
      </c>
      <c r="G9" s="39" t="inlineStr">
        <is>
          <t>③勤務開始時刻</t>
        </is>
      </c>
      <c r="H9" s="39" t="inlineStr">
        <is>
          <t>④勤務終了時刻</t>
        </is>
      </c>
      <c r="I9" s="38" t="inlineStr">
        <is>
          <t>⑤会社到着時刻</t>
        </is>
      </c>
      <c r="J9" s="40" t="inlineStr">
        <is>
          <t>⑥退勤時刻</t>
        </is>
      </c>
      <c r="K9" s="25" t="inlineStr">
        <is>
          <t>移動・会社作業時間</t>
        </is>
      </c>
      <c r="L9" s="30" t="inlineStr">
        <is>
          <t>現場作業時間</t>
        </is>
      </c>
      <c r="M9" s="31" t="inlineStr">
        <is>
          <t>時間外</t>
        </is>
      </c>
    </row>
    <row r="10" ht="23" customHeight="1" s="83">
      <c r="B10" s="86">
        <f>DATE($B$3, $E$3, 1)</f>
        <v/>
      </c>
      <c r="C10" s="87">
        <f>B10</f>
        <v/>
      </c>
      <c r="D10" s="88" t="n"/>
      <c r="E10" s="89" t="n"/>
      <c r="F10" s="90" t="n"/>
      <c r="G10" s="91" t="n"/>
      <c r="H10" s="90" t="n"/>
      <c r="I10" s="92" t="n"/>
      <c r="J10" s="69" t="n"/>
      <c r="K10" s="71">
        <f>F10-E10+J10-H10</f>
        <v/>
      </c>
      <c r="L10" s="93">
        <f>IF(OR(H10=":",H10=":"),":",H10-G10-TIMEVALUE("2:00"))</f>
        <v/>
      </c>
      <c r="M10" s="69">
        <f>IF(K10+L10-"8:00"&lt;0,0,K10+L10-"8:00")</f>
        <v/>
      </c>
    </row>
    <row r="11" ht="23" customHeight="1" s="83">
      <c r="B11" s="94">
        <f>IF(MONTH($B$10)=MONTH($B$10+ROW()-ROW($B$10)),$B$10+ROW()-ROW($B$10),"")</f>
        <v/>
      </c>
      <c r="C11" s="95">
        <f>B11</f>
        <v/>
      </c>
      <c r="D11" s="96" t="n"/>
      <c r="E11" s="89" t="n"/>
      <c r="F11" s="90" t="n"/>
      <c r="G11" s="91" t="n"/>
      <c r="H11" s="90" t="n"/>
      <c r="I11" s="92" t="n"/>
      <c r="J11" s="69" t="n"/>
      <c r="K11" s="71">
        <f>F11-E11+J11-H11</f>
        <v/>
      </c>
      <c r="L11" s="93">
        <f>IF(OR(H11=":",H11=":"),":",H11-G11-TIMEVALUE("2:00"))</f>
        <v/>
      </c>
      <c r="M11" s="69">
        <f>IF(K11+L11-"8:00"&lt;0,0,K11+L11-"8:00")</f>
        <v/>
      </c>
    </row>
    <row r="12" ht="23" customHeight="1" s="83">
      <c r="B12" s="94">
        <f>IF(MONTH($B$10)=MONTH($B$10+ROW()-ROW($B$10)),$B$10+ROW()-ROW($B$10),"")</f>
        <v/>
      </c>
      <c r="C12" s="95">
        <f>B12</f>
        <v/>
      </c>
      <c r="D12" s="96" t="n"/>
      <c r="E12" s="97" t="n"/>
      <c r="F12" s="98" t="n"/>
      <c r="G12" s="91" t="n"/>
      <c r="H12" s="98" t="n"/>
      <c r="I12" s="92" t="n"/>
      <c r="J12" s="69" t="n"/>
      <c r="K12" s="71">
        <f>F12-E12+J12-H12</f>
        <v/>
      </c>
      <c r="L12" s="93">
        <f>IF(OR(H12=":",H12=":"),":",H12-G12-TIMEVALUE("2:00"))</f>
        <v/>
      </c>
      <c r="M12" s="69">
        <f>IF(K12+L12-"8:00"&lt;0,0,K12+L12-"8:00")</f>
        <v/>
      </c>
    </row>
    <row r="13" ht="23" customHeight="1" s="83">
      <c r="B13" s="94">
        <f>IF(MONTH($B$10)=MONTH($B$10+ROW()-ROW($B$10)),$B$10+ROW()-ROW($B$10),"")</f>
        <v/>
      </c>
      <c r="C13" s="95">
        <f>B13</f>
        <v/>
      </c>
      <c r="D13" s="96" t="n"/>
      <c r="E13" s="97" t="n"/>
      <c r="F13" s="98" t="n"/>
      <c r="G13" s="91" t="n"/>
      <c r="H13" s="98" t="n"/>
      <c r="I13" s="92" t="n"/>
      <c r="J13" s="69" t="n"/>
      <c r="K13" s="71">
        <f>F13-E13+J13-H13</f>
        <v/>
      </c>
      <c r="L13" s="93">
        <f>IF(OR(H13=":",H13=":"),":",H13-G13-TIMEVALUE("2:00"))</f>
        <v/>
      </c>
      <c r="M13" s="69">
        <f>IF(K13+L13-"8:00"&lt;0,0,K13+L13-"8:00")</f>
        <v/>
      </c>
    </row>
    <row r="14" ht="23" customHeight="1" s="83">
      <c r="B14" s="94">
        <f>IF(MONTH($B$10)=MONTH($B$10+ROW()-ROW($B$10)),$B$10+ROW()-ROW($B$10),"")</f>
        <v/>
      </c>
      <c r="C14" s="95">
        <f>B14</f>
        <v/>
      </c>
      <c r="D14" s="96" t="n"/>
      <c r="E14" s="97" t="n"/>
      <c r="F14" s="98" t="n"/>
      <c r="G14" s="91" t="n"/>
      <c r="H14" s="98" t="n"/>
      <c r="I14" s="92" t="n"/>
      <c r="J14" s="69" t="n"/>
      <c r="K14" s="71">
        <f>F14-E14+J14-H14</f>
        <v/>
      </c>
      <c r="L14" s="93">
        <f>IF(OR(H14=":",H14=":"),":",H14-G14-TIMEVALUE("2:00"))</f>
        <v/>
      </c>
      <c r="M14" s="69">
        <f>IF(K14+L14-"8:00"&lt;0,0,K14+L14-"8:00")</f>
        <v/>
      </c>
    </row>
    <row r="15" ht="23" customHeight="1" s="83">
      <c r="B15" s="94">
        <f>IF(MONTH($B$10)=MONTH($B$10+ROW()-ROW($B$10)),$B$10+ROW()-ROW($B$10),"")</f>
        <v/>
      </c>
      <c r="C15" s="95">
        <f>B15</f>
        <v/>
      </c>
      <c r="D15" s="96" t="n"/>
      <c r="E15" s="97" t="n"/>
      <c r="F15" s="98" t="n"/>
      <c r="G15" s="91" t="n"/>
      <c r="H15" s="98" t="n"/>
      <c r="I15" s="92" t="n"/>
      <c r="J15" s="69" t="n"/>
      <c r="K15" s="71">
        <f>F15-E15+J15-H15</f>
        <v/>
      </c>
      <c r="L15" s="93">
        <f>IF(OR(H15=":",H15=":"),":",H15-G15-TIMEVALUE("2:00"))</f>
        <v/>
      </c>
      <c r="M15" s="69">
        <f>IF(K15+L15-"8:00"&lt;0,0,K15+L15-"8:00")</f>
        <v/>
      </c>
    </row>
    <row r="16" ht="23" customHeight="1" s="83">
      <c r="B16" s="99">
        <f>IF(MONTH($B$10)=MONTH($B$10+ROW()-ROW($B$10)),$B$10+ROW()-ROW($B$10),"")</f>
        <v/>
      </c>
      <c r="C16" s="100">
        <f>B16</f>
        <v/>
      </c>
      <c r="D16" s="101" t="n"/>
      <c r="E16" s="97" t="n"/>
      <c r="F16" s="98" t="n"/>
      <c r="G16" s="91" t="n"/>
      <c r="H16" s="98" t="n"/>
      <c r="I16" s="92" t="n"/>
      <c r="J16" s="69" t="n"/>
      <c r="K16" s="71">
        <f>F16-E16+J16-H16</f>
        <v/>
      </c>
      <c r="L16" s="93">
        <f>IF(OR(H16=":",H16=":"),":",H16-G16-TIMEVALUE("2:00"))</f>
        <v/>
      </c>
      <c r="M16" s="69">
        <f>IF(K16+L16-"8:00"&lt;0,0,K16+L16-"8:00")</f>
        <v/>
      </c>
    </row>
    <row r="17" ht="23" customHeight="1" s="83">
      <c r="B17" s="99">
        <f>IF(MONTH($B$10)=MONTH($B$10+ROW()-ROW($B$10)),$B$10+ROW()-ROW($B$10),"")</f>
        <v/>
      </c>
      <c r="C17" s="100">
        <f>B17</f>
        <v/>
      </c>
      <c r="D17" s="101" t="n"/>
      <c r="E17" s="97" t="n"/>
      <c r="F17" s="98" t="n"/>
      <c r="G17" s="91" t="n"/>
      <c r="H17" s="98" t="n"/>
      <c r="I17" s="92" t="n"/>
      <c r="J17" s="69" t="n"/>
      <c r="K17" s="71">
        <f>F17-E17+J17-H17</f>
        <v/>
      </c>
      <c r="L17" s="93">
        <f>IF(OR(H17=":",H17=":"),":",H17-G17-TIMEVALUE("2:00"))</f>
        <v/>
      </c>
      <c r="M17" s="69">
        <f>IF(K17+L17-"8:00"&lt;0,0,K17+L17-"8:00")</f>
        <v/>
      </c>
    </row>
    <row r="18" ht="23" customHeight="1" s="83">
      <c r="B18" s="94">
        <f>IF(MONTH($B$10)=MONTH($B$10+ROW()-ROW($B$10)),$B$10+ROW()-ROW($B$10),"")</f>
        <v/>
      </c>
      <c r="C18" s="95">
        <f>B18</f>
        <v/>
      </c>
      <c r="D18" s="96" t="n"/>
      <c r="E18" s="97" t="n"/>
      <c r="F18" s="98" t="n"/>
      <c r="G18" s="102" t="n"/>
      <c r="H18" s="98" t="n"/>
      <c r="I18" s="92" t="n"/>
      <c r="J18" s="69" t="n"/>
      <c r="K18" s="71">
        <f>F18-E18+J18-H18</f>
        <v/>
      </c>
      <c r="L18" s="93">
        <f>IF(OR(H18=":",H18=":"),":",H18-G18-TIMEVALUE("2:00"))</f>
        <v/>
      </c>
      <c r="M18" s="69">
        <f>IF(K18+L18-"8:00"&lt;0,0,K18+L18-"8:00")</f>
        <v/>
      </c>
    </row>
    <row r="19" ht="23" customHeight="1" s="83">
      <c r="B19" s="94">
        <f>IF(MONTH($B$10)=MONTH($B$10+ROW()-ROW($B$10)),$B$10+ROW()-ROW($B$10),"")</f>
        <v/>
      </c>
      <c r="C19" s="95">
        <f>B19</f>
        <v/>
      </c>
      <c r="D19" s="96" t="n"/>
      <c r="E19" s="97" t="n"/>
      <c r="F19" s="98" t="n"/>
      <c r="G19" s="91" t="n"/>
      <c r="H19" s="98" t="n"/>
      <c r="I19" s="92" t="n"/>
      <c r="J19" s="69" t="n"/>
      <c r="K19" s="71">
        <f>F19-E19+J19-H19</f>
        <v/>
      </c>
      <c r="L19" s="93">
        <f>IF(OR(H19=":",H19=":"),":",H19-G19-TIMEVALUE("2:00"))</f>
        <v/>
      </c>
      <c r="M19" s="69">
        <f>IF(K19+L19-"8:00"&lt;0,0,K19+L19-"8:00")</f>
        <v/>
      </c>
    </row>
    <row r="20" ht="23" customHeight="1" s="83">
      <c r="B20" s="94">
        <f>IF(MONTH($B$10)=MONTH($B$10+ROW()-ROW($B$10)),$B$10+ROW()-ROW($B$10),"")</f>
        <v/>
      </c>
      <c r="C20" s="95">
        <f>B20</f>
        <v/>
      </c>
      <c r="D20" s="96" t="n"/>
      <c r="E20" s="97" t="n"/>
      <c r="F20" s="98" t="n"/>
      <c r="G20" s="91" t="n"/>
      <c r="H20" s="98" t="n"/>
      <c r="I20" s="92" t="n"/>
      <c r="J20" s="69" t="n"/>
      <c r="K20" s="71">
        <f>F20-E20+J20-H20</f>
        <v/>
      </c>
      <c r="L20" s="93">
        <f>IF(OR(H20=":",H20=":"),":",H20-G20-TIMEVALUE("2:00"))</f>
        <v/>
      </c>
      <c r="M20" s="69">
        <f>IF(K20+L20-"8:00"&lt;0,0,K20+L20-"8:00")</f>
        <v/>
      </c>
    </row>
    <row r="21" ht="23" customHeight="1" s="83">
      <c r="B21" s="94">
        <f>IF(MONTH($B$10)=MONTH($B$10+ROW()-ROW($B$10)),$B$10+ROW()-ROW($B$10),"")</f>
        <v/>
      </c>
      <c r="C21" s="95">
        <f>B21</f>
        <v/>
      </c>
      <c r="D21" s="96" t="n"/>
      <c r="E21" s="97" t="n"/>
      <c r="F21" s="98" t="n"/>
      <c r="G21" s="91" t="n"/>
      <c r="H21" s="98" t="n"/>
      <c r="I21" s="92" t="n"/>
      <c r="J21" s="69" t="n"/>
      <c r="K21" s="71">
        <f>F21-E21+J21-H21</f>
        <v/>
      </c>
      <c r="L21" s="93">
        <f>IF(OR(H21=":",H21=":"),":",H21-G21-TIMEVALUE("2:00"))</f>
        <v/>
      </c>
      <c r="M21" s="69">
        <f>IF(K21+L21-"8:00"&lt;0,0,K21+L21-"8:00")</f>
        <v/>
      </c>
    </row>
    <row r="22" ht="23" customHeight="1" s="83">
      <c r="B22" s="94">
        <f>IF(MONTH($B$10)=MONTH($B$10+ROW()-ROW($B$10)),$B$10+ROW()-ROW($B$10),"")</f>
        <v/>
      </c>
      <c r="C22" s="95">
        <f>B22</f>
        <v/>
      </c>
      <c r="D22" s="96" t="n"/>
      <c r="E22" s="97" t="n"/>
      <c r="F22" s="98" t="n"/>
      <c r="G22" s="91" t="n"/>
      <c r="H22" s="98" t="n"/>
      <c r="I22" s="92" t="n"/>
      <c r="J22" s="69" t="n"/>
      <c r="K22" s="71">
        <f>F22-E22+J22-H22</f>
        <v/>
      </c>
      <c r="L22" s="93">
        <f>IF(OR(H22=":",H22=":"),":",H22-G22-TIMEVALUE("2:00"))</f>
        <v/>
      </c>
      <c r="M22" s="69">
        <f>IF(K22+L22-"8:00"&lt;0,0,K22+L22-"8:00")</f>
        <v/>
      </c>
    </row>
    <row r="23" ht="23" customHeight="1" s="83">
      <c r="B23" s="99">
        <f>IF(MONTH($B$10)=MONTH($B$10+ROW()-ROW($B$10)),$B$10+ROW()-ROW($B$10),"")</f>
        <v/>
      </c>
      <c r="C23" s="100">
        <f>B23</f>
        <v/>
      </c>
      <c r="D23" s="101" t="n"/>
      <c r="E23" s="97" t="n"/>
      <c r="F23" s="98" t="n"/>
      <c r="G23" s="91" t="n"/>
      <c r="H23" s="98" t="n"/>
      <c r="I23" s="92" t="n"/>
      <c r="J23" s="69" t="n"/>
      <c r="K23" s="71">
        <f>F23-E23+J23-H23</f>
        <v/>
      </c>
      <c r="L23" s="93">
        <f>IF(OR(H23=":",H23=":"),":",H23-G23-TIMEVALUE("2:00"))</f>
        <v/>
      </c>
      <c r="M23" s="69">
        <f>IF(K23+L23-"8:00"&lt;0,0,K23+L23-"8:00")</f>
        <v/>
      </c>
    </row>
    <row r="24" ht="23" customHeight="1" s="83">
      <c r="B24" s="99">
        <f>IF(MONTH($B$10)=MONTH($B$10+ROW()-ROW($B$10)),$B$10+ROW()-ROW($B$10),"")</f>
        <v/>
      </c>
      <c r="C24" s="100">
        <f>B24</f>
        <v/>
      </c>
      <c r="D24" s="101" t="n"/>
      <c r="E24" s="97" t="n"/>
      <c r="F24" s="98" t="n"/>
      <c r="G24" s="91" t="n"/>
      <c r="H24" s="98" t="n"/>
      <c r="I24" s="92" t="n"/>
      <c r="J24" s="69" t="n"/>
      <c r="K24" s="71">
        <f>F24-E24+J24-H24</f>
        <v/>
      </c>
      <c r="L24" s="93">
        <f>IF(OR(H24=":",H24=":"),":",H24-G24-TIMEVALUE("2:00"))</f>
        <v/>
      </c>
      <c r="M24" s="69">
        <f>IF(K24+L24-"8:00"&lt;0,0,K24+L24-"8:00")</f>
        <v/>
      </c>
    </row>
    <row r="25" ht="23" customHeight="1" s="83">
      <c r="B25" s="94">
        <f>IF(MONTH($B$10)=MONTH($B$10+ROW()-ROW($B$10)),$B$10+ROW()-ROW($B$10),"")</f>
        <v/>
      </c>
      <c r="C25" s="95">
        <f>B25</f>
        <v/>
      </c>
      <c r="D25" s="96" t="n"/>
      <c r="E25" s="97" t="n"/>
      <c r="F25" s="98" t="n"/>
      <c r="G25" s="91" t="n"/>
      <c r="H25" s="98" t="n"/>
      <c r="I25" s="92" t="n"/>
      <c r="J25" s="69" t="n"/>
      <c r="K25" s="71">
        <f>F25-E25+J25-H25</f>
        <v/>
      </c>
      <c r="L25" s="93">
        <f>IF(OR(H25=":",H25=":"),":",H25-G25-TIMEVALUE("2:00"))</f>
        <v/>
      </c>
      <c r="M25" s="69">
        <f>IF(K25+L25-"8:00"&lt;0,0,K25+L25-"8:00")</f>
        <v/>
      </c>
    </row>
    <row r="26" ht="23" customHeight="1" s="83">
      <c r="B26" s="94">
        <f>IF(MONTH($B$10)=MONTH($B$10+ROW()-ROW($B$10)),$B$10+ROW()-ROW($B$10),"")</f>
        <v/>
      </c>
      <c r="C26" s="95">
        <f>B26</f>
        <v/>
      </c>
      <c r="D26" s="96" t="n"/>
      <c r="E26" s="97" t="n"/>
      <c r="F26" s="98" t="n"/>
      <c r="G26" s="91" t="n"/>
      <c r="H26" s="98" t="n"/>
      <c r="I26" s="92" t="n"/>
      <c r="J26" s="69" t="n"/>
      <c r="K26" s="71">
        <f>F26-E26+J26-H26</f>
        <v/>
      </c>
      <c r="L26" s="93">
        <f>IF(OR(H26=":",H26=":"),":",H26-G26-TIMEVALUE("2:00"))</f>
        <v/>
      </c>
      <c r="M26" s="69">
        <f>IF(K26+L26-"8:00"&lt;0,0,K26+L26-"8:00")</f>
        <v/>
      </c>
    </row>
    <row r="27" ht="23" customHeight="1" s="83">
      <c r="B27" s="94">
        <f>IF(MONTH($B$10)=MONTH($B$10+ROW()-ROW($B$10)),$B$10+ROW()-ROW($B$10),"")</f>
        <v/>
      </c>
      <c r="C27" s="95">
        <f>B27</f>
        <v/>
      </c>
      <c r="D27" s="96" t="n"/>
      <c r="E27" s="97" t="n"/>
      <c r="F27" s="98" t="n"/>
      <c r="G27" s="91" t="n"/>
      <c r="H27" s="98" t="n"/>
      <c r="I27" s="92" t="n"/>
      <c r="J27" s="69" t="n"/>
      <c r="K27" s="71">
        <f>F27-E27+J27-H27</f>
        <v/>
      </c>
      <c r="L27" s="93">
        <f>IF(OR(H27=":",H27=":"),":",H27-G27-TIMEVALUE("2:00"))</f>
        <v/>
      </c>
      <c r="M27" s="69">
        <f>IF(K27+L27-"8:00"&lt;0,0,K27+L27-"8:00")</f>
        <v/>
      </c>
    </row>
    <row r="28" ht="23" customHeight="1" s="83">
      <c r="B28" s="94">
        <f>IF(MONTH($B$10)=MONTH($B$10+ROW()-ROW($B$10)),$B$10+ROW()-ROW($B$10),"")</f>
        <v/>
      </c>
      <c r="C28" s="95">
        <f>B28</f>
        <v/>
      </c>
      <c r="D28" s="96" t="n"/>
      <c r="E28" s="97" t="n"/>
      <c r="F28" s="98" t="n"/>
      <c r="G28" s="91" t="n"/>
      <c r="H28" s="98" t="n"/>
      <c r="I28" s="92" t="n"/>
      <c r="J28" s="69" t="n"/>
      <c r="K28" s="71">
        <f>F28-E28+J28-H28</f>
        <v/>
      </c>
      <c r="L28" s="93">
        <f>IF(OR(H28=":",H28=":"),":",H28-G28-TIMEVALUE("2:00"))</f>
        <v/>
      </c>
      <c r="M28" s="69">
        <f>IF(K28+L28-"8:00"&lt;0,0,K28+L28-"8:00")</f>
        <v/>
      </c>
    </row>
    <row r="29" ht="23" customHeight="1" s="83">
      <c r="B29" s="94">
        <f>IF(MONTH($B$10)=MONTH($B$10+ROW()-ROW($B$10)),$B$10+ROW()-ROW($B$10),"")</f>
        <v/>
      </c>
      <c r="C29" s="95">
        <f>B29</f>
        <v/>
      </c>
      <c r="D29" s="96" t="n"/>
      <c r="E29" s="97" t="n"/>
      <c r="F29" s="98" t="n"/>
      <c r="G29" s="91" t="n"/>
      <c r="H29" s="98" t="n"/>
      <c r="I29" s="92" t="n"/>
      <c r="J29" s="69" t="n"/>
      <c r="K29" s="71">
        <f>F29-E29+J29-H29</f>
        <v/>
      </c>
      <c r="L29" s="93">
        <f>IF(OR(H29=":",H29=":"),":",H29-G29-TIMEVALUE("2:00"))</f>
        <v/>
      </c>
      <c r="M29" s="69">
        <f>IF(K29+L29-"8:00"&lt;0,0,K29+L29-"8:00")</f>
        <v/>
      </c>
    </row>
    <row r="30" ht="23" customHeight="1" s="83">
      <c r="B30" s="94">
        <f>IF(MONTH($B$10)=MONTH($B$10+ROW()-ROW($B$10)),$B$10+ROW()-ROW($B$10),"")</f>
        <v/>
      </c>
      <c r="C30" s="95">
        <f>B30</f>
        <v/>
      </c>
      <c r="D30" s="96" t="n"/>
      <c r="E30" s="97" t="n"/>
      <c r="F30" s="98" t="n"/>
      <c r="G30" s="91" t="n"/>
      <c r="H30" s="98" t="n"/>
      <c r="I30" s="92" t="n"/>
      <c r="J30" s="69" t="n"/>
      <c r="K30" s="71">
        <f>F30-E30+J30-H30</f>
        <v/>
      </c>
      <c r="L30" s="93">
        <f>IF(OR(H30=":",H30=":"),":",H30-G30-TIMEVALUE("2:00"))</f>
        <v/>
      </c>
      <c r="M30" s="69">
        <f>IF(K30+L30-"8:00"&lt;0,0,K30+L30-"8:00")</f>
        <v/>
      </c>
    </row>
    <row r="31" ht="23" customHeight="1" s="83">
      <c r="B31" s="99">
        <f>IF(MONTH($B$10)=MONTH($B$10+ROW()-ROW($B$10)),$B$10+ROW()-ROW($B$10),"")</f>
        <v/>
      </c>
      <c r="C31" s="100">
        <f>B31</f>
        <v/>
      </c>
      <c r="D31" s="101" t="n"/>
      <c r="E31" s="97" t="n"/>
      <c r="F31" s="98" t="n"/>
      <c r="G31" s="91" t="n"/>
      <c r="H31" s="98" t="n"/>
      <c r="I31" s="92" t="n"/>
      <c r="J31" s="69" t="n"/>
      <c r="K31" s="71">
        <f>F31-E31+J31-H31</f>
        <v/>
      </c>
      <c r="L31" s="93">
        <f>IF(OR(H31=":",H31=":"),":",H31-G31-TIMEVALUE("2:00"))</f>
        <v/>
      </c>
      <c r="M31" s="69">
        <f>IF(K31+L31-"8:00"&lt;0,0,K31+L31-"8:00")</f>
        <v/>
      </c>
    </row>
    <row r="32" ht="23" customHeight="1" s="83">
      <c r="B32" s="94">
        <f>IF(MONTH($B$10)=MONTH($B$10+ROW()-ROW($B$10)),$B$10+ROW()-ROW($B$10),"")</f>
        <v/>
      </c>
      <c r="C32" s="95">
        <f>B32</f>
        <v/>
      </c>
      <c r="D32" s="96" t="n"/>
      <c r="E32" s="97" t="n"/>
      <c r="F32" s="98" t="n"/>
      <c r="G32" s="91" t="n"/>
      <c r="H32" s="98" t="n"/>
      <c r="I32" s="92" t="n"/>
      <c r="J32" s="69" t="n"/>
      <c r="K32" s="71">
        <f>F32-E32+J32-H32</f>
        <v/>
      </c>
      <c r="L32" s="93">
        <f>IF(OR(H32=":",H32=":"),":",H32-G32-TIMEVALUE("2:00"))</f>
        <v/>
      </c>
      <c r="M32" s="69">
        <f>IF(K32+L32-"8:00"&lt;0,0,K32+L32-"8:00")</f>
        <v/>
      </c>
    </row>
    <row r="33" ht="23" customHeight="1" s="83">
      <c r="B33" s="94">
        <f>IF(MONTH($B$10)=MONTH($B$10+ROW()-ROW($B$10)),$B$10+ROW()-ROW($B$10),"")</f>
        <v/>
      </c>
      <c r="C33" s="95">
        <f>B33</f>
        <v/>
      </c>
      <c r="D33" s="96" t="n"/>
      <c r="E33" s="97" t="n"/>
      <c r="F33" s="98" t="n"/>
      <c r="G33" s="91" t="n"/>
      <c r="H33" s="98" t="n"/>
      <c r="I33" s="92" t="n"/>
      <c r="J33" s="69" t="n"/>
      <c r="K33" s="71">
        <f>F33-E33+J33-H33</f>
        <v/>
      </c>
      <c r="L33" s="93">
        <f>IF(OR(H33=":",H33=":"),":",H33-G33-TIMEVALUE("2:00"))</f>
        <v/>
      </c>
      <c r="M33" s="69">
        <f>IF(K33+L33-"8:00"&lt;0,0,K33+L33-"8:00")</f>
        <v/>
      </c>
    </row>
    <row r="34" ht="23" customHeight="1" s="83">
      <c r="B34" s="94">
        <f>IF(MONTH($B$10)=MONTH($B$10+ROW()-ROW($B$10)),$B$10+ROW()-ROW($B$10),"")</f>
        <v/>
      </c>
      <c r="C34" s="95">
        <f>B34</f>
        <v/>
      </c>
      <c r="D34" s="96" t="n"/>
      <c r="E34" s="97" t="n"/>
      <c r="F34" s="98" t="n"/>
      <c r="G34" s="91" t="n"/>
      <c r="H34" s="98" t="n"/>
      <c r="I34" s="92" t="n"/>
      <c r="J34" s="69" t="n"/>
      <c r="K34" s="71">
        <f>F34-E34+J34-H34</f>
        <v/>
      </c>
      <c r="L34" s="93">
        <f>IF(OR(H34=":",H34=":"),":",H34-G34-TIMEVALUE("2:00"))</f>
        <v/>
      </c>
      <c r="M34" s="69">
        <f>IF(K34+L34-"8:00"&lt;0,0,K34+L34-"8:00")</f>
        <v/>
      </c>
    </row>
    <row r="35" ht="23" customHeight="1" s="83">
      <c r="B35" s="94">
        <f>IF(MONTH($B$10)=MONTH($B$10+ROW()-ROW($B$10)),$B$10+ROW()-ROW($B$10),"")</f>
        <v/>
      </c>
      <c r="C35" s="95">
        <f>B35</f>
        <v/>
      </c>
      <c r="D35" s="96" t="n"/>
      <c r="E35" s="97" t="n"/>
      <c r="F35" s="98" t="n"/>
      <c r="G35" s="91" t="n"/>
      <c r="H35" s="98" t="n"/>
      <c r="I35" s="92" t="n"/>
      <c r="J35" s="69" t="n"/>
      <c r="K35" s="71">
        <f>F35-E35+J35-H35</f>
        <v/>
      </c>
      <c r="L35" s="93">
        <f>IF(OR(H35=":",H35=":"),":",H35-G35-TIMEVALUE("2:00"))</f>
        <v/>
      </c>
      <c r="M35" s="69">
        <f>IF(K35+L35-"8:00"&lt;0,0,K35+L35-"8:00")</f>
        <v/>
      </c>
    </row>
    <row r="36" ht="23" customHeight="1" s="83">
      <c r="B36" s="94">
        <f>IF(MONTH($B$10)=MONTH($B$10+ROW()-ROW($B$10)),$B$10+ROW()-ROW($B$10),"")</f>
        <v/>
      </c>
      <c r="C36" s="95">
        <f>B36</f>
        <v/>
      </c>
      <c r="D36" s="96" t="n"/>
      <c r="E36" s="97" t="n"/>
      <c r="F36" s="98" t="n"/>
      <c r="G36" s="91" t="n"/>
      <c r="H36" s="98" t="n"/>
      <c r="I36" s="92" t="n"/>
      <c r="J36" s="69" t="n"/>
      <c r="K36" s="71">
        <f>F36-E36+J36-H36</f>
        <v/>
      </c>
      <c r="L36" s="93">
        <f>IF(OR(H36=":",H36=":"),":",H36-G36-TIMEVALUE("2:00"))</f>
        <v/>
      </c>
      <c r="M36" s="69">
        <f>IF(K36+L36-"8:00"&lt;0,0,K36+L36-"8:00")</f>
        <v/>
      </c>
    </row>
    <row r="37" ht="23" customHeight="1" s="83">
      <c r="B37" s="99">
        <f>IF(MONTH($B$10)=MONTH($B$10+ROW()-ROW($B$10)),$B$10+ROW()-ROW($B$10),"")</f>
        <v/>
      </c>
      <c r="C37" s="100">
        <f>B37</f>
        <v/>
      </c>
      <c r="D37" s="101" t="n"/>
      <c r="E37" s="97" t="n"/>
      <c r="F37" s="98" t="n"/>
      <c r="G37" s="91" t="n"/>
      <c r="H37" s="98" t="n"/>
      <c r="I37" s="92" t="n"/>
      <c r="J37" s="69" t="n"/>
      <c r="K37" s="71">
        <f>F37-E37+J37-H37</f>
        <v/>
      </c>
      <c r="L37" s="93">
        <f>IF(OR(H37=":",H37=":"),":",H37-G37-TIMEVALUE("2:00"))</f>
        <v/>
      </c>
      <c r="M37" s="69">
        <f>IF(K37+L37-"8:00"&lt;0,0,K37+L37-"8:00")</f>
        <v/>
      </c>
    </row>
    <row r="38" ht="23" customHeight="1" s="83">
      <c r="B38" s="94">
        <f>IF(MONTH($B$10)=MONTH($B$10+ROW()-ROW($B$10)),$B$10+ROW()-ROW($B$10),"")</f>
        <v/>
      </c>
      <c r="C38" s="95">
        <f>B38</f>
        <v/>
      </c>
      <c r="D38" s="96" t="n"/>
      <c r="E38" s="97" t="n"/>
      <c r="F38" s="98" t="n"/>
      <c r="G38" s="91" t="n"/>
      <c r="H38" s="98" t="n"/>
      <c r="I38" s="92" t="n"/>
      <c r="J38" s="69" t="n"/>
      <c r="K38" s="71">
        <f>F38-E38+J38-H38</f>
        <v/>
      </c>
      <c r="L38" s="93">
        <f>IF(OR(H38=":",H38=":"),":",H38-G38-TIMEVALUE("2:00"))</f>
        <v/>
      </c>
      <c r="M38" s="69">
        <f>IF(K38+L38-"8:00"&lt;0,0,K38+L38-"8:00")</f>
        <v/>
      </c>
    </row>
    <row r="39" ht="23" customHeight="1" s="83">
      <c r="B39" s="94">
        <f>IF(MONTH($B$10)=MONTH($B$10+ROW()-ROW($B$10)),$B$10+ROW()-ROW($B$10),"")</f>
        <v/>
      </c>
      <c r="C39" s="95">
        <f>B39</f>
        <v/>
      </c>
      <c r="D39" s="96" t="n"/>
      <c r="E39" s="97" t="n"/>
      <c r="F39" s="98" t="n"/>
      <c r="G39" s="91" t="n"/>
      <c r="H39" s="98" t="n"/>
      <c r="I39" s="92" t="n"/>
      <c r="J39" s="69" t="n"/>
      <c r="K39" s="71">
        <f>F39-E39+J39-H39</f>
        <v/>
      </c>
      <c r="L39" s="93">
        <f>IF(OR(H39=":",H39=":"),":",H39-G39-TIMEVALUE("2:00"))</f>
        <v/>
      </c>
      <c r="M39" s="69">
        <f>IF(K39+L39-"8:00"&lt;0,0,K39+L39-"8:00")</f>
        <v/>
      </c>
    </row>
    <row r="40" ht="23" customHeight="1" s="83" thickBot="1">
      <c r="B40" s="103">
        <f>IF(MONTH($B$10)=MONTH($B$10+ROW()-ROW($B$10)),$B$10+ROW()-ROW($B$10),"")</f>
        <v/>
      </c>
      <c r="C40" s="104">
        <f>B40</f>
        <v/>
      </c>
      <c r="D40" s="105" t="n"/>
      <c r="E40" s="97" t="n"/>
      <c r="F40" s="98" t="n"/>
      <c r="G40" s="91" t="n"/>
      <c r="H40" s="98" t="n"/>
      <c r="I40" s="92" t="n"/>
      <c r="J40" s="70" t="n"/>
      <c r="K40" s="71">
        <f>F40-E40+J40-H40</f>
        <v/>
      </c>
      <c r="L40" s="93">
        <f>IF(OR(H40=":",H40=":"),":",H40-G40-TIMEVALUE("2:00"))</f>
        <v/>
      </c>
      <c r="M40" s="69">
        <f>IF(K40+L40-"8:00"&lt;0,0,K40+L40-"8:00")</f>
        <v/>
      </c>
    </row>
    <row r="41" ht="23" customHeight="1" s="83" thickBot="1">
      <c r="B41" s="75" t="inlineStr">
        <is>
          <t>合計時間</t>
        </is>
      </c>
      <c r="C41" s="106" t="n"/>
      <c r="D41" s="106" t="n"/>
      <c r="E41" s="106" t="n"/>
      <c r="F41" s="106" t="n"/>
      <c r="G41" s="106" t="n"/>
      <c r="H41" s="106" t="n"/>
      <c r="I41" s="106" t="n"/>
      <c r="J41" s="106" t="n"/>
      <c r="K41" s="107">
        <f>SUMIF(K10:K40,"&gt;0")</f>
        <v/>
      </c>
      <c r="L41" s="108">
        <f>SUMIF(L10:L40,"&gt;0")</f>
        <v/>
      </c>
      <c r="M41" s="109">
        <f>SUMIF(M10:M40,"&gt;0")</f>
        <v/>
      </c>
    </row>
    <row r="43" ht="20.15" customHeight="1" s="83">
      <c r="G43" s="15" t="inlineStr">
        <is>
          <t>出勤日数</t>
        </is>
      </c>
      <c r="H43" s="16">
        <f>COUNTIF(D10:D40,"出勤")</f>
        <v/>
      </c>
      <c r="I43" s="29" t="n"/>
      <c r="J43" s="5" t="n"/>
      <c r="K43" s="77" t="inlineStr">
        <is>
          <t>総労働時間</t>
        </is>
      </c>
      <c r="L43" s="110" t="n"/>
      <c r="M43" s="111">
        <f>K41+L41</f>
        <v/>
      </c>
      <c r="O43" s="0" t="inlineStr">
        <is>
          <t>多い方を採用</t>
        </is>
      </c>
    </row>
    <row r="44" ht="20.15" customHeight="1" s="83">
      <c r="G44" s="17" t="inlineStr">
        <is>
          <t>欠勤日数</t>
        </is>
      </c>
      <c r="H44" s="16">
        <f>COUNTIF(D10:D40,"欠勤")</f>
        <v/>
      </c>
      <c r="I44" s="29" t="n"/>
      <c r="J44" s="5" t="n"/>
      <c r="K44" s="77" t="inlineStr">
        <is>
          <t>法定労働時間</t>
        </is>
      </c>
      <c r="L44" s="110" t="n"/>
      <c r="M44" s="111" t="n">
        <v>7.379166666666666</v>
      </c>
      <c r="O44" s="0" t="inlineStr">
        <is>
          <t>（給与明細に記載）</t>
        </is>
      </c>
    </row>
    <row r="45" ht="20.15" customHeight="1" s="83">
      <c r="G45" s="15" t="inlineStr">
        <is>
          <t>有給日数</t>
        </is>
      </c>
      <c r="H45" s="16">
        <f>COUNTIF(D10:D40,"有給")</f>
        <v/>
      </c>
      <c r="I45" s="29" t="n"/>
      <c r="J45" s="5" t="n"/>
      <c r="K45" s="78" t="inlineStr">
        <is>
          <t>総労働時間-法定労働時間</t>
        </is>
      </c>
      <c r="L45" s="110" t="n"/>
      <c r="M45" s="111">
        <f>M43-M44</f>
        <v/>
      </c>
    </row>
    <row r="46">
      <c r="K46" s="82" t="inlineStr">
        <is>
          <t>労働時間</t>
        </is>
      </c>
      <c r="L46" s="112" t="n"/>
      <c r="M46" s="113">
        <f>M43-M41</f>
        <v/>
      </c>
    </row>
    <row r="50">
      <c r="J50" s="80" t="inlineStr">
        <is>
          <t>対象期間が1か月の場合の上限時間</t>
        </is>
      </c>
      <c r="K50" s="114" t="n"/>
      <c r="L50" s="114" t="n"/>
      <c r="M50" s="114" t="n"/>
      <c r="N50" s="110" t="n"/>
    </row>
    <row r="51">
      <c r="J51" s="80" t="inlineStr">
        <is>
          <t>週の法定労働時間</t>
        </is>
      </c>
      <c r="K51" s="80" t="inlineStr">
        <is>
          <t>月の暦日数</t>
        </is>
      </c>
      <c r="L51" s="114" t="n"/>
      <c r="M51" s="114" t="n"/>
      <c r="N51" s="110" t="n"/>
    </row>
    <row r="52">
      <c r="J52" s="115" t="n"/>
      <c r="K52" s="80" t="inlineStr">
        <is>
          <t>28日</t>
        </is>
      </c>
      <c r="L52" s="80" t="inlineStr">
        <is>
          <t>29日</t>
        </is>
      </c>
      <c r="M52" s="80" t="inlineStr">
        <is>
          <t>30日</t>
        </is>
      </c>
      <c r="N52" s="80" t="inlineStr">
        <is>
          <t>31日</t>
        </is>
      </c>
    </row>
    <row r="53">
      <c r="J53" s="116" t="n">
        <v>40</v>
      </c>
      <c r="K53" s="117" t="n">
        <v>160</v>
      </c>
      <c r="L53" s="117" t="n">
        <v>165.7</v>
      </c>
      <c r="M53" s="117" t="n">
        <v>171.4</v>
      </c>
      <c r="N53" s="117" t="n">
        <v>177.1</v>
      </c>
      <c r="O53" s="0" t="inlineStr">
        <is>
          <t>(単位=時間）</t>
        </is>
      </c>
    </row>
    <row r="54">
      <c r="K54" s="81" t="inlineStr">
        <is>
          <t>↓</t>
        </is>
      </c>
      <c r="L54" s="114" t="n"/>
      <c r="M54" s="114" t="n"/>
      <c r="N54" s="114" t="n"/>
    </row>
    <row r="55">
      <c r="K55" s="118" t="n">
        <v>6.666666666666667</v>
      </c>
      <c r="L55" s="118" t="n">
        <v>6.904166666666667</v>
      </c>
      <c r="M55" s="118" t="n">
        <v>7.141666666666667</v>
      </c>
      <c r="N55" s="118" t="n">
        <v>7.379166666666666</v>
      </c>
      <c r="O55" s="0" t="inlineStr">
        <is>
          <t>(単位=〇時間：〇分）</t>
        </is>
      </c>
    </row>
  </sheetData>
  <mergeCells count="11">
    <mergeCell ref="J50:N50"/>
    <mergeCell ref="K43:L43"/>
    <mergeCell ref="K54:N54"/>
    <mergeCell ref="J51:J52"/>
    <mergeCell ref="B3:C3"/>
    <mergeCell ref="K51:N51"/>
    <mergeCell ref="K44:L44"/>
    <mergeCell ref="B41:J41"/>
    <mergeCell ref="K45:L45"/>
    <mergeCell ref="K46:L46"/>
    <mergeCell ref="B9:C9"/>
  </mergeCells>
  <conditionalFormatting sqref="B10:D40">
    <cfRule type="expression" priority="2" dxfId="0">
      <formula>WEEKDAY(B10)=1</formula>
    </cfRule>
  </conditionalFormatting>
  <dataValidations count="1">
    <dataValidation sqref="D10:D40" showDropDown="0" showInputMessage="1" showErrorMessage="1" allowBlank="1" type="list">
      <formula1>"出勤,欠勤,休日,有給"</formula1>
    </dataValidation>
  </dataValidations>
  <printOptions horizontalCentered="1" verticalCentered="1"/>
  <pageMargins left="0.3149606299212598" right="0.3149606299212598" top="0.3543307086614174" bottom="0.3543307086614174" header="0.3149606299212598" footer="0.3149606299212598"/>
  <pageSetup orientation="portrait" paperSize="9" scale="7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templates-navi.com</dc:creator>
  <dcterms:created xmlns:dcterms="http://purl.org/dc/terms/" xmlns:xsi="http://www.w3.org/2001/XMLSchema-instance" xsi:type="dcterms:W3CDTF">2014-10-13T08:38:48Z</dcterms:created>
  <dcterms:modified xmlns:dcterms="http://purl.org/dc/terms/" xmlns:xsi="http://www.w3.org/2001/XMLSchema-instance" xsi:type="dcterms:W3CDTF">2026-03-08T11:46:37Z</dcterms:modified>
  <cp:lastModifiedBy>sakurai</cp:lastModifiedBy>
  <cp:lastPrinted>2025-05-23T05:47:17Z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0x0101009D564F6048EA6A48853F2539F89CCC1C</vt:lpwstr>
  </property>
  <property name="MediaServiceImageTags" fmtid="{D5CDD505-2E9C-101B-9397-08002B2CF9AE}" pid="3">
    <vt:lpwstr xmlns:vt="http://schemas.openxmlformats.org/officeDocument/2006/docPropsVTypes"/>
  </property>
</Properties>
</file>