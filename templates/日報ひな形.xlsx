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sakurai\daily-report-fill-out\templates\"/>
    </mc:Choice>
  </mc:AlternateContent>
  <xr:revisionPtr revIDLastSave="0" documentId="13_ncr:1_{82DD4AFD-8C99-4A5B-8C34-4B279E4ED708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ひな型" sheetId="5" r:id="rId1"/>
  </sheets>
  <definedNames>
    <definedName name="_xlnm.Print_Area" localSheetId="0">ひな型!$B$1:$J$41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" i="5" l="1"/>
  <c r="M41" i="5"/>
  <c r="B10" i="5"/>
  <c r="L10" i="5"/>
  <c r="K11" i="5"/>
  <c r="K12" i="5"/>
  <c r="K13" i="5"/>
  <c r="K14" i="5"/>
  <c r="K15" i="5"/>
  <c r="K16" i="5"/>
  <c r="K17" i="5"/>
  <c r="M17" i="5" s="1"/>
  <c r="K18" i="5"/>
  <c r="K19" i="5"/>
  <c r="M19" i="5" s="1"/>
  <c r="K20" i="5"/>
  <c r="M20" i="5" s="1"/>
  <c r="K21" i="5"/>
  <c r="K22" i="5"/>
  <c r="K23" i="5"/>
  <c r="K24" i="5"/>
  <c r="K25" i="5"/>
  <c r="K26" i="5"/>
  <c r="K27" i="5"/>
  <c r="M27" i="5" s="1"/>
  <c r="K28" i="5"/>
  <c r="K29" i="5"/>
  <c r="M29" i="5" s="1"/>
  <c r="K30" i="5"/>
  <c r="M30" i="5" s="1"/>
  <c r="K31" i="5"/>
  <c r="K32" i="5"/>
  <c r="M32" i="5" s="1"/>
  <c r="K33" i="5"/>
  <c r="K34" i="5"/>
  <c r="K35" i="5"/>
  <c r="K36" i="5"/>
  <c r="K37" i="5"/>
  <c r="K38" i="5"/>
  <c r="M38" i="5" s="1"/>
  <c r="K39" i="5"/>
  <c r="M39" i="5" s="1"/>
  <c r="K40" i="5"/>
  <c r="K10" i="5"/>
  <c r="H45" i="5"/>
  <c r="H44" i="5"/>
  <c r="H43" i="5"/>
  <c r="L40" i="5"/>
  <c r="L39" i="5"/>
  <c r="L38" i="5"/>
  <c r="L37" i="5"/>
  <c r="L36" i="5"/>
  <c r="L35" i="5"/>
  <c r="M35" i="5"/>
  <c r="L34" i="5"/>
  <c r="L33" i="5"/>
  <c r="M33" i="5"/>
  <c r="L32" i="5"/>
  <c r="L31" i="5"/>
  <c r="L30" i="5"/>
  <c r="L29" i="5"/>
  <c r="L28" i="5"/>
  <c r="L27" i="5"/>
  <c r="L26" i="5"/>
  <c r="L25" i="5"/>
  <c r="M25" i="5"/>
  <c r="L24" i="5"/>
  <c r="L23" i="5"/>
  <c r="M23" i="5"/>
  <c r="L22" i="5"/>
  <c r="M22" i="5" s="1"/>
  <c r="L21" i="5"/>
  <c r="M21" i="5" s="1"/>
  <c r="L20" i="5"/>
  <c r="L19" i="5"/>
  <c r="L18" i="5"/>
  <c r="L17" i="5"/>
  <c r="L16" i="5"/>
  <c r="M16" i="5"/>
  <c r="L15" i="5"/>
  <c r="L14" i="5"/>
  <c r="L13" i="5"/>
  <c r="L12" i="5"/>
  <c r="M12" i="5" s="1"/>
  <c r="L11" i="5"/>
  <c r="I3" i="5"/>
  <c r="M37" i="5" l="1"/>
  <c r="M13" i="5"/>
  <c r="M36" i="5"/>
  <c r="M24" i="5"/>
  <c r="M31" i="5"/>
  <c r="M15" i="5"/>
  <c r="M26" i="5"/>
  <c r="M11" i="5"/>
  <c r="L41" i="5"/>
  <c r="M34" i="5"/>
  <c r="M10" i="5"/>
  <c r="M40" i="5"/>
  <c r="B39" i="5"/>
  <c r="C39" i="5" s="1"/>
  <c r="B19" i="5"/>
  <c r="C19" i="5" s="1"/>
  <c r="B17" i="5"/>
  <c r="C17" i="5" s="1"/>
  <c r="M14" i="5"/>
  <c r="M28" i="5"/>
  <c r="C10" i="5"/>
  <c r="B13" i="5"/>
  <c r="C13" i="5" s="1"/>
  <c r="B27" i="5"/>
  <c r="C27" i="5" s="1"/>
  <c r="B18" i="5"/>
  <c r="C18" i="5" s="1"/>
  <c r="M18" i="5"/>
  <c r="B23" i="5"/>
  <c r="C23" i="5" s="1"/>
  <c r="B14" i="5"/>
  <c r="C14" i="5" s="1"/>
  <c r="B28" i="5"/>
  <c r="C28" i="5" s="1"/>
  <c r="B40" i="5"/>
  <c r="C40" i="5" s="1"/>
  <c r="B36" i="5"/>
  <c r="C36" i="5" s="1"/>
  <c r="B29" i="5"/>
  <c r="C29" i="5" s="1"/>
  <c r="B22" i="5"/>
  <c r="C22" i="5" s="1"/>
  <c r="B34" i="5"/>
  <c r="C34" i="5" s="1"/>
  <c r="B32" i="5"/>
  <c r="C32" i="5" s="1"/>
  <c r="B16" i="5"/>
  <c r="C16" i="5" s="1"/>
  <c r="B35" i="5"/>
  <c r="C35" i="5" s="1"/>
  <c r="B21" i="5"/>
  <c r="C21" i="5" s="1"/>
  <c r="B33" i="5"/>
  <c r="C33" i="5" s="1"/>
  <c r="B31" i="5"/>
  <c r="C31" i="5" s="1"/>
  <c r="B24" i="5"/>
  <c r="C24" i="5" s="1"/>
  <c r="B15" i="5"/>
  <c r="C15" i="5" s="1"/>
  <c r="B20" i="5"/>
  <c r="C20" i="5" s="1"/>
  <c r="B11" i="5"/>
  <c r="C11" i="5" s="1"/>
  <c r="B25" i="5"/>
  <c r="C25" i="5" s="1"/>
  <c r="B37" i="5"/>
  <c r="C37" i="5" s="1"/>
  <c r="B30" i="5"/>
  <c r="C30" i="5" s="1"/>
  <c r="B12" i="5"/>
  <c r="C12" i="5" s="1"/>
  <c r="B26" i="5"/>
  <c r="C26" i="5" s="1"/>
  <c r="B38" i="5"/>
  <c r="C38" i="5" s="1"/>
  <c r="K41" i="5"/>
  <c r="M43" i="5" s="1"/>
  <c r="M4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4193966D-BB4B-4104-BC3B-7BAE6D702C5C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sharedStrings.xml><?xml version="1.0" encoding="utf-8"?>
<sst xmlns="http://schemas.openxmlformats.org/spreadsheetml/2006/main" count="39" uniqueCount="39">
  <si>
    <t>年</t>
    <rPh sb="0" eb="1">
      <t>ネン</t>
    </rPh>
    <phoneticPr fontId="1"/>
  </si>
  <si>
    <t>月　出勤簿</t>
    <rPh sb="0" eb="1">
      <t>ツキ</t>
    </rPh>
    <rPh sb="2" eb="4">
      <t>シュッキン</t>
    </rPh>
    <rPh sb="4" eb="5">
      <t>ボ</t>
    </rPh>
    <phoneticPr fontId="1"/>
  </si>
  <si>
    <t>氏名</t>
    <rPh sb="0" eb="2">
      <t>シメイ</t>
    </rPh>
    <phoneticPr fontId="1"/>
  </si>
  <si>
    <t>勤務開始</t>
    <rPh sb="0" eb="2">
      <t>キンム</t>
    </rPh>
    <rPh sb="2" eb="4">
      <t>カイシ</t>
    </rPh>
    <phoneticPr fontId="1"/>
  </si>
  <si>
    <t>勤務終了</t>
    <rPh sb="0" eb="2">
      <t>キンム</t>
    </rPh>
    <rPh sb="2" eb="4">
      <t>シュウリョウ</t>
    </rPh>
    <phoneticPr fontId="1"/>
  </si>
  <si>
    <t>休憩時間</t>
    <rPh sb="0" eb="2">
      <t>キュウケイ</t>
    </rPh>
    <rPh sb="2" eb="4">
      <t>ジカン</t>
    </rPh>
    <phoneticPr fontId="1"/>
  </si>
  <si>
    <t>所定時間</t>
    <rPh sb="0" eb="2">
      <t>ショテイ</t>
    </rPh>
    <rPh sb="2" eb="4">
      <t>ジカン</t>
    </rPh>
    <phoneticPr fontId="1"/>
  </si>
  <si>
    <t>日付</t>
    <rPh sb="0" eb="2">
      <t>ヒヅケ</t>
    </rPh>
    <phoneticPr fontId="1"/>
  </si>
  <si>
    <t>区分</t>
    <rPh sb="0" eb="2">
      <t>クブン</t>
    </rPh>
    <phoneticPr fontId="1"/>
  </si>
  <si>
    <t>①出勤時刻</t>
  </si>
  <si>
    <t>②現場到着時刻</t>
  </si>
  <si>
    <t>③勤務開始時刻</t>
  </si>
  <si>
    <t>④勤務終了時刻</t>
  </si>
  <si>
    <t>⑤会社到着時刻</t>
  </si>
  <si>
    <t>⑥退勤時刻</t>
  </si>
  <si>
    <t>移動・会社作業時間</t>
  </si>
  <si>
    <t>現場作業時間</t>
  </si>
  <si>
    <t>時間外</t>
    <rPh sb="0" eb="3">
      <t>ジカンガイ</t>
    </rPh>
    <phoneticPr fontId="1"/>
  </si>
  <si>
    <t>合計時間</t>
    <rPh sb="0" eb="2">
      <t>ゴウケイ</t>
    </rPh>
    <rPh sb="2" eb="4">
      <t>ジカン</t>
    </rPh>
    <phoneticPr fontId="1"/>
  </si>
  <si>
    <t>出勤日数</t>
    <rPh sb="0" eb="2">
      <t>シュッキン</t>
    </rPh>
    <rPh sb="2" eb="3">
      <t>ヒ</t>
    </rPh>
    <rPh sb="3" eb="4">
      <t>カズ</t>
    </rPh>
    <phoneticPr fontId="1"/>
  </si>
  <si>
    <t>欠勤日数</t>
    <rPh sb="0" eb="2">
      <t>ケッキン</t>
    </rPh>
    <rPh sb="2" eb="3">
      <t>ヒ</t>
    </rPh>
    <rPh sb="3" eb="4">
      <t>カズ</t>
    </rPh>
    <phoneticPr fontId="1"/>
  </si>
  <si>
    <t>有給日数</t>
    <rPh sb="0" eb="2">
      <t>ユウキュウ</t>
    </rPh>
    <rPh sb="2" eb="3">
      <t>ヒ</t>
    </rPh>
    <rPh sb="3" eb="4">
      <t>カズ</t>
    </rPh>
    <phoneticPr fontId="1"/>
  </si>
  <si>
    <t>総労働時間</t>
    <rPh sb="0" eb="1">
      <t>ソウ</t>
    </rPh>
    <rPh sb="1" eb="3">
      <t>ロウドウ</t>
    </rPh>
    <rPh sb="3" eb="5">
      <t>ジカン</t>
    </rPh>
    <phoneticPr fontId="1"/>
  </si>
  <si>
    <t>多い方を採用</t>
    <rPh sb="0" eb="1">
      <t>オオ</t>
    </rPh>
    <rPh sb="2" eb="3">
      <t>ホウ</t>
    </rPh>
    <rPh sb="4" eb="6">
      <t>サイヨウ</t>
    </rPh>
    <phoneticPr fontId="1"/>
  </si>
  <si>
    <t>法定労働時間</t>
    <rPh sb="0" eb="2">
      <t>ホウテイ</t>
    </rPh>
    <rPh sb="2" eb="4">
      <t>ロウドウ</t>
    </rPh>
    <rPh sb="4" eb="6">
      <t>ジカン</t>
    </rPh>
    <phoneticPr fontId="1"/>
  </si>
  <si>
    <t>（給与明細に記載）</t>
    <rPh sb="1" eb="3">
      <t>キュウヨ</t>
    </rPh>
    <rPh sb="3" eb="5">
      <t>メイサイ</t>
    </rPh>
    <rPh sb="6" eb="8">
      <t>キサイ</t>
    </rPh>
    <phoneticPr fontId="1"/>
  </si>
  <si>
    <t>総労働時間-法定労働時間</t>
    <rPh sb="0" eb="1">
      <t>ソウ</t>
    </rPh>
    <rPh sb="1" eb="3">
      <t>ロウドウ</t>
    </rPh>
    <rPh sb="3" eb="5">
      <t>ジカン</t>
    </rPh>
    <rPh sb="6" eb="8">
      <t>ホウテイ</t>
    </rPh>
    <rPh sb="8" eb="10">
      <t>ロウドウ</t>
    </rPh>
    <rPh sb="10" eb="12">
      <t>ジカン</t>
    </rPh>
    <phoneticPr fontId="1"/>
  </si>
  <si>
    <t>労働時間</t>
  </si>
  <si>
    <t>対象期間が1か月の場合の上限時間</t>
    <rPh sb="0" eb="2">
      <t>タイショウ</t>
    </rPh>
    <rPh sb="2" eb="4">
      <t>キカン</t>
    </rPh>
    <rPh sb="7" eb="8">
      <t>ゲツ</t>
    </rPh>
    <rPh sb="9" eb="11">
      <t>バアイ</t>
    </rPh>
    <rPh sb="12" eb="14">
      <t>ジョウゲン</t>
    </rPh>
    <rPh sb="14" eb="16">
      <t>ジカン</t>
    </rPh>
    <phoneticPr fontId="1"/>
  </si>
  <si>
    <t>週の法定労働時間</t>
    <rPh sb="0" eb="1">
      <t>シュウ</t>
    </rPh>
    <rPh sb="2" eb="4">
      <t>ホウテイ</t>
    </rPh>
    <rPh sb="4" eb="6">
      <t>ロウドウ</t>
    </rPh>
    <rPh sb="6" eb="8">
      <t>ジカン</t>
    </rPh>
    <phoneticPr fontId="1"/>
  </si>
  <si>
    <t>月の暦日数</t>
    <rPh sb="0" eb="1">
      <t>ツキ</t>
    </rPh>
    <rPh sb="2" eb="3">
      <t>レキ</t>
    </rPh>
    <rPh sb="3" eb="5">
      <t>ニッスウ</t>
    </rPh>
    <phoneticPr fontId="1"/>
  </si>
  <si>
    <t>28日</t>
    <rPh sb="2" eb="3">
      <t>ニチ</t>
    </rPh>
    <phoneticPr fontId="1"/>
  </si>
  <si>
    <t>29日</t>
    <rPh sb="2" eb="3">
      <t>ニチ</t>
    </rPh>
    <phoneticPr fontId="1"/>
  </si>
  <si>
    <t>30日</t>
    <rPh sb="2" eb="3">
      <t>ニチ</t>
    </rPh>
    <phoneticPr fontId="1"/>
  </si>
  <si>
    <t>31日</t>
    <rPh sb="2" eb="3">
      <t>ニチ</t>
    </rPh>
    <phoneticPr fontId="1"/>
  </si>
  <si>
    <t>(単位=時間）</t>
    <rPh sb="1" eb="3">
      <t>タンイ</t>
    </rPh>
    <rPh sb="4" eb="6">
      <t>ジカン</t>
    </rPh>
    <phoneticPr fontId="1"/>
  </si>
  <si>
    <t>↓</t>
    <phoneticPr fontId="1"/>
  </si>
  <si>
    <t>(単位=〇時間：〇分）</t>
    <rPh sb="1" eb="3">
      <t>タンイ</t>
    </rPh>
    <rPh sb="5" eb="7">
      <t>ジカン</t>
    </rPh>
    <rPh sb="9" eb="10">
      <t>フン</t>
    </rPh>
    <phoneticPr fontId="1"/>
  </si>
  <si>
    <t>青色部分は所定休</t>
    <rPh sb="0" eb="2">
      <t>アオイロ</t>
    </rPh>
    <rPh sb="2" eb="4">
      <t>ブブン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</si>
</sst>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d"/>
    <numFmt numFmtId="177" formatCode="aaa"/>
    <numFmt numFmtId="178" formatCode="[h]:mm;#;#"/>
    <numFmt numFmtId="179" formatCode="h:mm;;"/>
    <numFmt numFmtId="180" formatCode="0_ "/>
    <numFmt numFmtId="181" formatCode="0.0_ "/>
  </numFmts>
  <fonts count="23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6"/>
      <color theme="1"/>
      <name val="ＭＳ Ｐゴシック"/>
      <family val="2"/>
      <charset val="128"/>
      <scheme val="minor"/>
    </font>
    <font>
      <sz val="16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12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9"/>
      <color theme="1"/>
      <name val="BIZ UDゴシック"/>
      <family val="3"/>
      <charset val="128"/>
    </font>
    <font>
      <sz val="10"/>
      <color theme="1"/>
      <name val="BIZ UDPゴシック"/>
      <family val="3"/>
      <charset val="128"/>
    </font>
    <font>
      <sz val="18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sz val="18"/>
      <color theme="0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sz val="9"/>
      <color indexed="81"/>
      <name val="MS P ゴシック"/>
      <family val="3"/>
      <charset val="128"/>
    </font>
    <font>
      <sz val="9"/>
      <color theme="1"/>
      <name val="ＭＳ ゴシック"/>
      <family val="3"/>
      <charset val="128"/>
    </font>
    <font>
      <sz val="9"/>
      <color theme="1"/>
      <name val="ＭＳ Ｐゴシック"/>
      <family val="2"/>
      <charset val="128"/>
      <scheme val="minor"/>
    </font>
    <font>
      <b/>
      <sz val="20"/>
      <color theme="1"/>
      <name val="ＭＳ Ｐゴシック"/>
      <family val="3"/>
      <charset val="128"/>
      <scheme val="minor"/>
    </font>
    <font>
      <b/>
      <sz val="28"/>
      <color theme="1"/>
      <name val="ＭＳ Ｐゴシック"/>
      <family val="3"/>
      <charset val="128"/>
      <scheme val="minor"/>
    </font>
    <font>
      <sz val="8"/>
      <color theme="1"/>
      <name val="ＭＳ Ｐゴシック"/>
      <family val="2"/>
      <charset val="128"/>
      <scheme val="minor"/>
    </font>
    <font>
      <sz val="8"/>
      <color theme="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thin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rgb="FF000000"/>
      </right>
      <top style="medium">
        <color auto="1"/>
      </top>
      <bottom style="thin">
        <color auto="1"/>
      </bottom>
      <diagonal/>
    </border>
    <border>
      <left style="dotted">
        <color rgb="FF000000"/>
      </left>
      <right style="dotted">
        <color rgb="FF000000"/>
      </right>
      <top style="medium">
        <color auto="1"/>
      </top>
      <bottom style="thin">
        <color auto="1"/>
      </bottom>
      <diagonal/>
    </border>
    <border>
      <left style="dotted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9" fillId="0" borderId="17" xfId="0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0" fontId="6" fillId="0" borderId="21" xfId="0" applyFont="1" applyBorder="1">
      <alignment vertical="center"/>
    </xf>
    <xf numFmtId="0" fontId="0" fillId="0" borderId="4" xfId="0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4" fontId="14" fillId="0" borderId="0" xfId="0" applyNumberFormat="1" applyFont="1">
      <alignment vertical="center"/>
    </xf>
    <xf numFmtId="14" fontId="15" fillId="0" borderId="0" xfId="0" applyNumberFormat="1" applyFont="1">
      <alignment vertical="center"/>
    </xf>
    <xf numFmtId="0" fontId="15" fillId="0" borderId="0" xfId="0" applyFont="1">
      <alignment vertical="center"/>
    </xf>
    <xf numFmtId="0" fontId="15" fillId="0" borderId="0" xfId="0" applyFont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14" fontId="15" fillId="0" borderId="17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0" fillId="0" borderId="32" xfId="0" applyBorder="1">
      <alignment vertical="center"/>
    </xf>
    <xf numFmtId="0" fontId="18" fillId="3" borderId="26" xfId="0" applyFont="1" applyFill="1" applyBorder="1" applyAlignment="1">
      <alignment horizontal="center" vertical="center"/>
    </xf>
    <xf numFmtId="0" fontId="17" fillId="4" borderId="29" xfId="0" applyFont="1" applyFill="1" applyBorder="1" applyAlignment="1">
      <alignment horizontal="center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180" fontId="0" fillId="0" borderId="3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8" fontId="0" fillId="0" borderId="38" xfId="0" applyNumberFormat="1" applyBorder="1">
      <alignment vertical="center"/>
    </xf>
    <xf numFmtId="0" fontId="8" fillId="5" borderId="0" xfId="0" applyFont="1" applyFill="1">
      <alignment vertical="center"/>
    </xf>
    <xf numFmtId="176" fontId="4" fillId="5" borderId="2" xfId="0" applyNumberFormat="1" applyFont="1" applyFill="1" applyBorder="1" applyAlignment="1">
      <alignment horizontal="center" vertical="center" wrapText="1"/>
    </xf>
    <xf numFmtId="177" fontId="4" fillId="5" borderId="3" xfId="0" applyNumberFormat="1" applyFont="1" applyFill="1" applyBorder="1" applyAlignment="1">
      <alignment horizontal="center" vertical="center"/>
    </xf>
    <xf numFmtId="177" fontId="4" fillId="5" borderId="4" xfId="0" applyNumberFormat="1" applyFont="1" applyFill="1" applyBorder="1" applyAlignment="1">
      <alignment horizontal="center" vertical="center"/>
    </xf>
    <xf numFmtId="178" fontId="0" fillId="0" borderId="3" xfId="0" applyNumberFormat="1" applyBorder="1">
      <alignment vertical="center"/>
    </xf>
    <xf numFmtId="176" fontId="4" fillId="5" borderId="5" xfId="0" applyNumberFormat="1" applyFont="1" applyFill="1" applyBorder="1" applyAlignment="1">
      <alignment horizontal="center" vertical="center"/>
    </xf>
    <xf numFmtId="177" fontId="4" fillId="5" borderId="6" xfId="0" applyNumberFormat="1" applyFont="1" applyFill="1" applyBorder="1" applyAlignment="1">
      <alignment horizontal="center" vertical="center"/>
    </xf>
    <xf numFmtId="177" fontId="4" fillId="5" borderId="7" xfId="0" applyNumberFormat="1" applyFont="1" applyFill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center" vertical="center"/>
    </xf>
    <xf numFmtId="176" fontId="4" fillId="0" borderId="18" xfId="0" applyNumberFormat="1" applyFont="1" applyBorder="1" applyAlignment="1">
      <alignment horizontal="center" vertical="center" wrapText="1"/>
    </xf>
    <xf numFmtId="177" fontId="4" fillId="0" borderId="19" xfId="0" applyNumberFormat="1" applyFont="1" applyBorder="1" applyAlignment="1">
      <alignment horizontal="center" vertical="center"/>
    </xf>
    <xf numFmtId="177" fontId="4" fillId="0" borderId="20" xfId="0" applyNumberFormat="1" applyFon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8" fontId="0" fillId="0" borderId="22" xfId="0" applyNumberFormat="1" applyBorder="1" applyAlignment="1">
      <alignment horizontal="center" vertical="center"/>
    </xf>
    <xf numFmtId="178" fontId="0" fillId="0" borderId="28" xfId="0" applyNumberFormat="1" applyBorder="1" applyAlignment="1">
      <alignment horizontal="center" vertical="center"/>
    </xf>
    <xf numFmtId="178" fontId="4" fillId="0" borderId="9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4" fillId="0" borderId="24" xfId="0" applyNumberFormat="1" applyFont="1" applyBorder="1" applyAlignment="1">
      <alignment horizontal="center" vertical="center"/>
    </xf>
    <xf numFmtId="179" fontId="4" fillId="0" borderId="13" xfId="0" applyNumberFormat="1" applyFont="1" applyBorder="1" applyAlignment="1">
      <alignment horizontal="center" vertical="center"/>
    </xf>
    <xf numFmtId="178" fontId="4" fillId="0" borderId="27" xfId="0" applyNumberFormat="1" applyFont="1" applyBorder="1" applyAlignment="1">
      <alignment horizontal="center" vertical="center"/>
    </xf>
    <xf numFmtId="178" fontId="4" fillId="0" borderId="10" xfId="0" applyNumberFormat="1" applyFont="1" applyBorder="1" applyAlignment="1">
      <alignment horizontal="center" vertical="center"/>
    </xf>
    <xf numFmtId="178" fontId="4" fillId="0" borderId="12" xfId="0" applyNumberFormat="1" applyFont="1" applyBorder="1" applyAlignment="1">
      <alignment horizontal="center" vertical="center"/>
    </xf>
    <xf numFmtId="178" fontId="4" fillId="0" borderId="25" xfId="0" applyNumberFormat="1" applyFont="1" applyBorder="1" applyAlignment="1">
      <alignment horizontal="center" vertical="center"/>
    </xf>
    <xf numFmtId="20" fontId="4" fillId="0" borderId="30" xfId="0" applyNumberFormat="1" applyFont="1" applyBorder="1" applyAlignment="1">
      <alignment horizontal="center" vertical="center"/>
    </xf>
    <xf numFmtId="20" fontId="4" fillId="0" borderId="31" xfId="0" applyNumberFormat="1" applyFont="1" applyBorder="1" applyAlignment="1">
      <alignment horizontal="center" vertical="center"/>
    </xf>
    <xf numFmtId="20" fontId="4" fillId="0" borderId="25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20" fontId="0" fillId="0" borderId="3" xfId="0" applyNumberForma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8" xfId="0" applyBorder="1" applyAlignment="1">
      <alignment horizontal="left" vertical="center"/>
    </xf>
  </cellXfs>
  <cellStyles count="1">
    <cellStyle name="標準" xfId="0" builtinId="0"/>
  </cellStyles>
  <dxfs count="2"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79513</xdr:colOff>
      <xdr:row>42</xdr:row>
      <xdr:rowOff>119269</xdr:rowOff>
    </xdr:from>
    <xdr:to>
      <xdr:col>13</xdr:col>
      <xdr:colOff>569843</xdr:colOff>
      <xdr:row>44</xdr:row>
      <xdr:rowOff>119270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DECCEE18-E566-497B-A0B6-09B2448BC2C2}"/>
            </a:ext>
          </a:extLst>
        </xdr:cNvPr>
        <xdr:cNvCxnSpPr/>
      </xdr:nvCxnSpPr>
      <xdr:spPr>
        <a:xfrm flipH="1">
          <a:off x="10739893" y="12136009"/>
          <a:ext cx="490330" cy="50292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46383</xdr:colOff>
      <xdr:row>40</xdr:row>
      <xdr:rowOff>165652</xdr:rowOff>
    </xdr:from>
    <xdr:to>
      <xdr:col>13</xdr:col>
      <xdr:colOff>583096</xdr:colOff>
      <xdr:row>42</xdr:row>
      <xdr:rowOff>112643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FC401A3E-665B-F2D5-0874-8B3AD737583E}"/>
            </a:ext>
          </a:extLst>
        </xdr:cNvPr>
        <xdr:cNvCxnSpPr/>
      </xdr:nvCxnSpPr>
      <xdr:spPr>
        <a:xfrm flipH="1" flipV="1">
          <a:off x="10714383" y="11794435"/>
          <a:ext cx="536713" cy="40419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4B3A-BE61-4F62-B334-66469A649A77}">
  <sheetPr>
    <pageSetUpPr fitToPage="1"/>
  </sheetPr>
  <dimension ref="B1:O55"/>
  <sheetViews>
    <sheetView showGridLines="0" tabSelected="1" zoomScale="115" zoomScaleNormal="115" workbookViewId="0">
      <selection activeCell="I39" sqref="I39"/>
    </sheetView>
  </sheetViews>
  <sheetFormatPr defaultColWidth="8.6328125" defaultRowHeight="13"/>
  <cols>
    <col min="1" max="1" width="2.6328125" customWidth="1"/>
    <col min="2" max="3" width="6.08984375" customWidth="1"/>
    <col min="4" max="4" width="5.6328125" style="5" customWidth="1"/>
    <col min="5" max="6" width="17.6328125" customWidth="1"/>
    <col min="7" max="8" width="17.6328125" style="5" customWidth="1"/>
    <col min="9" max="10" width="17.6328125" customWidth="1"/>
    <col min="11" max="11" width="9.453125" customWidth="1"/>
    <col min="12" max="12" width="9.453125" style="5" customWidth="1"/>
    <col min="13" max="13" width="9.453125" customWidth="1"/>
  </cols>
  <sheetData>
    <row r="1" spans="2:13" ht="32" customHeight="1">
      <c r="B1" s="33"/>
    </row>
    <row r="2" spans="2:13" ht="32" customHeight="1">
      <c r="B2" s="32"/>
    </row>
    <row r="3" spans="2:13" s="18" customFormat="1" ht="30.75" customHeight="1" thickBot="1">
      <c r="B3" s="72">
        <v>2026</v>
      </c>
      <c r="C3" s="72"/>
      <c r="D3" s="19" t="s">
        <v>0</v>
      </c>
      <c r="E3" s="19">
        <v>2</v>
      </c>
      <c r="F3" s="19" t="s">
        <v>1</v>
      </c>
      <c r="G3" s="41"/>
      <c r="H3" s="20"/>
      <c r="I3" s="21">
        <f>DATE(B3,E3,1)</f>
        <v>46054</v>
      </c>
      <c r="L3" s="20"/>
    </row>
    <row r="4" spans="2:13" s="1" customFormat="1" ht="23.15" customHeight="1" thickBot="1">
      <c r="B4" s="11"/>
      <c r="C4" s="11"/>
      <c r="D4" s="11"/>
      <c r="E4" s="11"/>
      <c r="F4" s="11"/>
      <c r="G4" s="7"/>
      <c r="H4" s="6"/>
      <c r="I4" s="27" t="s">
        <v>2</v>
      </c>
      <c r="J4" s="28"/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49999999999999" customHeight="1" thickBot="1">
      <c r="B6" s="2"/>
      <c r="C6" s="2"/>
      <c r="D6" s="4"/>
      <c r="E6" s="2"/>
      <c r="F6" s="2"/>
      <c r="G6" s="12" t="s">
        <v>3</v>
      </c>
      <c r="H6" s="13" t="s">
        <v>4</v>
      </c>
      <c r="I6" s="13" t="s">
        <v>5</v>
      </c>
      <c r="J6" s="8" t="s">
        <v>6</v>
      </c>
      <c r="K6" s="13"/>
      <c r="L6" s="8"/>
    </row>
    <row r="7" spans="2:13" s="10" customFormat="1" ht="20.149999999999999" customHeight="1" thickBot="1">
      <c r="C7" s="44"/>
      <c r="D7" s="10" t="s">
        <v>38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 ht="13.5" thickBot="1">
      <c r="B8" s="2"/>
      <c r="C8" s="2"/>
      <c r="D8" s="4"/>
      <c r="E8" s="2"/>
      <c r="F8" s="2"/>
      <c r="G8" s="4"/>
      <c r="H8" s="4"/>
      <c r="I8" s="2"/>
    </row>
    <row r="9" spans="2:13" ht="23" customHeight="1">
      <c r="B9" s="73" t="s">
        <v>7</v>
      </c>
      <c r="C9" s="74"/>
      <c r="D9" s="3" t="s">
        <v>8</v>
      </c>
      <c r="E9" s="37" t="s">
        <v>9</v>
      </c>
      <c r="F9" s="38" t="s">
        <v>10</v>
      </c>
      <c r="G9" s="39" t="s">
        <v>11</v>
      </c>
      <c r="H9" s="39" t="s">
        <v>12</v>
      </c>
      <c r="I9" s="38" t="s">
        <v>13</v>
      </c>
      <c r="J9" s="40" t="s">
        <v>14</v>
      </c>
      <c r="K9" s="25" t="s">
        <v>15</v>
      </c>
      <c r="L9" s="30" t="s">
        <v>16</v>
      </c>
      <c r="M9" s="31" t="s">
        <v>17</v>
      </c>
    </row>
    <row r="10" spans="2:13" ht="23" customHeight="1">
      <c r="B10" s="49">
        <f>DATE($B$3, $E$3, 1)</f>
        <v>46054</v>
      </c>
      <c r="C10" s="50">
        <f>B10</f>
        <v>46054</v>
      </c>
      <c r="D10" s="51"/>
      <c r="E10" s="61"/>
      <c r="F10" s="62"/>
      <c r="G10" s="63"/>
      <c r="H10" s="62"/>
      <c r="I10" s="64"/>
      <c r="J10" s="69"/>
      <c r="K10" s="71">
        <f>F10-E10+J10-H10</f>
        <v>0</v>
      </c>
      <c r="L10" s="65">
        <f>IF(OR(H10=":",H10=":"),":",H10-G10-TIMEVALUE("2:00"))</f>
        <v>-8.3333333333333329E-2</v>
      </c>
      <c r="M10" s="69">
        <f t="shared" ref="M10:M40" si="0">IF(K10+L10-"8:00"&lt;0,0,K10+L10-"8:00")</f>
        <v>0</v>
      </c>
    </row>
    <row r="11" spans="2:13" ht="23" customHeight="1">
      <c r="B11" s="52">
        <f>IF(MONTH($B$10)=MONTH($B$10+ROW()-ROW($B$10)),$B$10+ROW()-ROW($B$10),"")</f>
        <v>46055</v>
      </c>
      <c r="C11" s="53">
        <f t="shared" ref="C11:C40" si="1">B11</f>
        <v>46055</v>
      </c>
      <c r="D11" s="54"/>
      <c r="E11" s="61"/>
      <c r="F11" s="62"/>
      <c r="G11" s="63"/>
      <c r="H11" s="62"/>
      <c r="I11" s="64"/>
      <c r="J11" s="69"/>
      <c r="K11" s="71">
        <f t="shared" ref="K11:K40" si="2">F11-E11+J11-H11</f>
        <v>0</v>
      </c>
      <c r="L11" s="65">
        <f t="shared" ref="L11:L40" si="3">IF(OR(H11=":",H11=":"),":",H11-G11-TIMEVALUE("2:00"))</f>
        <v>-8.3333333333333329E-2</v>
      </c>
      <c r="M11" s="69">
        <f t="shared" si="0"/>
        <v>0</v>
      </c>
    </row>
    <row r="12" spans="2:13" ht="23" customHeight="1">
      <c r="B12" s="52">
        <f t="shared" ref="B12:B39" si="4">IF(MONTH($B$10)=MONTH($B$10+ROW()-ROW($B$10)),$B$10+ROW()-ROW($B$10),"")</f>
        <v>46056</v>
      </c>
      <c r="C12" s="53">
        <f t="shared" si="1"/>
        <v>46056</v>
      </c>
      <c r="D12" s="54"/>
      <c r="E12" s="66"/>
      <c r="F12" s="67"/>
      <c r="G12" s="63"/>
      <c r="H12" s="67"/>
      <c r="I12" s="64"/>
      <c r="J12" s="69"/>
      <c r="K12" s="71">
        <f t="shared" si="2"/>
        <v>0</v>
      </c>
      <c r="L12" s="65">
        <f t="shared" si="3"/>
        <v>-8.3333333333333329E-2</v>
      </c>
      <c r="M12" s="69">
        <f t="shared" si="0"/>
        <v>0</v>
      </c>
    </row>
    <row r="13" spans="2:13" ht="23" customHeight="1">
      <c r="B13" s="52">
        <f t="shared" si="4"/>
        <v>46057</v>
      </c>
      <c r="C13" s="53">
        <f t="shared" si="1"/>
        <v>46057</v>
      </c>
      <c r="D13" s="54"/>
      <c r="E13" s="66"/>
      <c r="F13" s="67"/>
      <c r="G13" s="63"/>
      <c r="H13" s="67"/>
      <c r="I13" s="64"/>
      <c r="J13" s="69"/>
      <c r="K13" s="71">
        <f t="shared" si="2"/>
        <v>0</v>
      </c>
      <c r="L13" s="65">
        <f t="shared" si="3"/>
        <v>-8.3333333333333329E-2</v>
      </c>
      <c r="M13" s="69">
        <f t="shared" si="0"/>
        <v>0</v>
      </c>
    </row>
    <row r="14" spans="2:13" ht="23" customHeight="1">
      <c r="B14" s="52">
        <f t="shared" si="4"/>
        <v>46058</v>
      </c>
      <c r="C14" s="53">
        <f t="shared" si="1"/>
        <v>46058</v>
      </c>
      <c r="D14" s="54"/>
      <c r="E14" s="66"/>
      <c r="F14" s="67"/>
      <c r="G14" s="63"/>
      <c r="H14" s="67"/>
      <c r="I14" s="64"/>
      <c r="J14" s="69"/>
      <c r="K14" s="71">
        <f t="shared" si="2"/>
        <v>0</v>
      </c>
      <c r="L14" s="65">
        <f t="shared" si="3"/>
        <v>-8.3333333333333329E-2</v>
      </c>
      <c r="M14" s="69">
        <f t="shared" si="0"/>
        <v>0</v>
      </c>
    </row>
    <row r="15" spans="2:13" ht="23" customHeight="1">
      <c r="B15" s="52">
        <f t="shared" si="4"/>
        <v>46059</v>
      </c>
      <c r="C15" s="53">
        <f t="shared" si="1"/>
        <v>46059</v>
      </c>
      <c r="D15" s="54"/>
      <c r="E15" s="66"/>
      <c r="F15" s="67"/>
      <c r="G15" s="63"/>
      <c r="H15" s="67"/>
      <c r="I15" s="64"/>
      <c r="J15" s="69"/>
      <c r="K15" s="71">
        <f t="shared" si="2"/>
        <v>0</v>
      </c>
      <c r="L15" s="65">
        <f t="shared" si="3"/>
        <v>-8.3333333333333329E-2</v>
      </c>
      <c r="M15" s="69">
        <f t="shared" si="0"/>
        <v>0</v>
      </c>
    </row>
    <row r="16" spans="2:13" ht="23" customHeight="1">
      <c r="B16" s="45">
        <f t="shared" si="4"/>
        <v>46060</v>
      </c>
      <c r="C16" s="46">
        <f t="shared" si="1"/>
        <v>46060</v>
      </c>
      <c r="D16" s="47"/>
      <c r="E16" s="66"/>
      <c r="F16" s="67"/>
      <c r="G16" s="63"/>
      <c r="H16" s="67"/>
      <c r="I16" s="64"/>
      <c r="J16" s="69"/>
      <c r="K16" s="71">
        <f t="shared" si="2"/>
        <v>0</v>
      </c>
      <c r="L16" s="65">
        <f t="shared" si="3"/>
        <v>-8.3333333333333329E-2</v>
      </c>
      <c r="M16" s="69">
        <f t="shared" si="0"/>
        <v>0</v>
      </c>
    </row>
    <row r="17" spans="2:13" ht="23" customHeight="1">
      <c r="B17" s="45">
        <f t="shared" si="4"/>
        <v>46061</v>
      </c>
      <c r="C17" s="46">
        <f t="shared" si="1"/>
        <v>46061</v>
      </c>
      <c r="D17" s="47"/>
      <c r="E17" s="66"/>
      <c r="F17" s="67"/>
      <c r="G17" s="63"/>
      <c r="H17" s="67"/>
      <c r="I17" s="64"/>
      <c r="J17" s="69"/>
      <c r="K17" s="71">
        <f>F17-E17+J17-H17</f>
        <v>0</v>
      </c>
      <c r="L17" s="65">
        <f t="shared" si="3"/>
        <v>-8.3333333333333329E-2</v>
      </c>
      <c r="M17" s="69">
        <f t="shared" si="0"/>
        <v>0</v>
      </c>
    </row>
    <row r="18" spans="2:13" ht="23" customHeight="1">
      <c r="B18" s="52">
        <f t="shared" si="4"/>
        <v>46062</v>
      </c>
      <c r="C18" s="53">
        <f t="shared" si="1"/>
        <v>46062</v>
      </c>
      <c r="D18" s="54"/>
      <c r="E18" s="66"/>
      <c r="F18" s="67"/>
      <c r="G18" s="68"/>
      <c r="H18" s="67"/>
      <c r="I18" s="64"/>
      <c r="J18" s="69"/>
      <c r="K18" s="71">
        <f t="shared" si="2"/>
        <v>0</v>
      </c>
      <c r="L18" s="65">
        <f t="shared" si="3"/>
        <v>-8.3333333333333329E-2</v>
      </c>
      <c r="M18" s="69">
        <f t="shared" si="0"/>
        <v>0</v>
      </c>
    </row>
    <row r="19" spans="2:13" ht="23" customHeight="1">
      <c r="B19" s="52">
        <f t="shared" si="4"/>
        <v>46063</v>
      </c>
      <c r="C19" s="53">
        <f t="shared" si="1"/>
        <v>46063</v>
      </c>
      <c r="D19" s="54"/>
      <c r="E19" s="66"/>
      <c r="F19" s="67"/>
      <c r="G19" s="63"/>
      <c r="H19" s="67"/>
      <c r="I19" s="64"/>
      <c r="J19" s="69"/>
      <c r="K19" s="71">
        <f t="shared" si="2"/>
        <v>0</v>
      </c>
      <c r="L19" s="65">
        <f t="shared" si="3"/>
        <v>-8.3333333333333329E-2</v>
      </c>
      <c r="M19" s="69">
        <f t="shared" si="0"/>
        <v>0</v>
      </c>
    </row>
    <row r="20" spans="2:13" ht="23" customHeight="1">
      <c r="B20" s="52">
        <f t="shared" si="4"/>
        <v>46064</v>
      </c>
      <c r="C20" s="53">
        <f t="shared" si="1"/>
        <v>46064</v>
      </c>
      <c r="D20" s="54"/>
      <c r="E20" s="66"/>
      <c r="F20" s="67"/>
      <c r="G20" s="63"/>
      <c r="H20" s="67"/>
      <c r="I20" s="64"/>
      <c r="J20" s="69"/>
      <c r="K20" s="71">
        <f t="shared" si="2"/>
        <v>0</v>
      </c>
      <c r="L20" s="65">
        <f t="shared" si="3"/>
        <v>-8.3333333333333329E-2</v>
      </c>
      <c r="M20" s="69">
        <f t="shared" si="0"/>
        <v>0</v>
      </c>
    </row>
    <row r="21" spans="2:13" ht="23" customHeight="1">
      <c r="B21" s="52">
        <f t="shared" si="4"/>
        <v>46065</v>
      </c>
      <c r="C21" s="53">
        <f t="shared" si="1"/>
        <v>46065</v>
      </c>
      <c r="D21" s="54"/>
      <c r="E21" s="66"/>
      <c r="F21" s="67"/>
      <c r="G21" s="63"/>
      <c r="H21" s="67"/>
      <c r="I21" s="64"/>
      <c r="J21" s="69"/>
      <c r="K21" s="71">
        <f t="shared" si="2"/>
        <v>0</v>
      </c>
      <c r="L21" s="65">
        <f t="shared" si="3"/>
        <v>-8.3333333333333329E-2</v>
      </c>
      <c r="M21" s="69">
        <f t="shared" si="0"/>
        <v>0</v>
      </c>
    </row>
    <row r="22" spans="2:13" ht="23" customHeight="1">
      <c r="B22" s="52">
        <f t="shared" si="4"/>
        <v>46066</v>
      </c>
      <c r="C22" s="53">
        <f t="shared" si="1"/>
        <v>46066</v>
      </c>
      <c r="D22" s="54"/>
      <c r="E22" s="66"/>
      <c r="F22" s="67"/>
      <c r="G22" s="63"/>
      <c r="H22" s="67"/>
      <c r="I22" s="64"/>
      <c r="J22" s="69"/>
      <c r="K22" s="71">
        <f t="shared" si="2"/>
        <v>0</v>
      </c>
      <c r="L22" s="65">
        <f t="shared" si="3"/>
        <v>-8.3333333333333329E-2</v>
      </c>
      <c r="M22" s="69">
        <f t="shared" si="0"/>
        <v>0</v>
      </c>
    </row>
    <row r="23" spans="2:13" ht="23" customHeight="1">
      <c r="B23" s="45">
        <f t="shared" si="4"/>
        <v>46067</v>
      </c>
      <c r="C23" s="46">
        <f t="shared" si="1"/>
        <v>46067</v>
      </c>
      <c r="D23" s="47"/>
      <c r="E23" s="66"/>
      <c r="F23" s="67"/>
      <c r="G23" s="63"/>
      <c r="H23" s="67"/>
      <c r="I23" s="64"/>
      <c r="J23" s="69"/>
      <c r="K23" s="71">
        <f t="shared" si="2"/>
        <v>0</v>
      </c>
      <c r="L23" s="65">
        <f t="shared" si="3"/>
        <v>-8.3333333333333329E-2</v>
      </c>
      <c r="M23" s="69">
        <f t="shared" si="0"/>
        <v>0</v>
      </c>
    </row>
    <row r="24" spans="2:13" ht="23" customHeight="1">
      <c r="B24" s="45">
        <f t="shared" si="4"/>
        <v>46068</v>
      </c>
      <c r="C24" s="46">
        <f t="shared" si="1"/>
        <v>46068</v>
      </c>
      <c r="D24" s="47"/>
      <c r="E24" s="66"/>
      <c r="F24" s="67"/>
      <c r="G24" s="63"/>
      <c r="H24" s="67"/>
      <c r="I24" s="64"/>
      <c r="J24" s="69"/>
      <c r="K24" s="71">
        <f t="shared" si="2"/>
        <v>0</v>
      </c>
      <c r="L24" s="65">
        <f t="shared" si="3"/>
        <v>-8.3333333333333329E-2</v>
      </c>
      <c r="M24" s="69">
        <f t="shared" si="0"/>
        <v>0</v>
      </c>
    </row>
    <row r="25" spans="2:13" ht="23" customHeight="1">
      <c r="B25" s="52">
        <f t="shared" si="4"/>
        <v>46069</v>
      </c>
      <c r="C25" s="53">
        <f t="shared" si="1"/>
        <v>46069</v>
      </c>
      <c r="D25" s="54"/>
      <c r="E25" s="66"/>
      <c r="F25" s="67"/>
      <c r="G25" s="63"/>
      <c r="H25" s="67"/>
      <c r="I25" s="64"/>
      <c r="J25" s="69"/>
      <c r="K25" s="71">
        <f t="shared" si="2"/>
        <v>0</v>
      </c>
      <c r="L25" s="65">
        <f t="shared" si="3"/>
        <v>-8.3333333333333329E-2</v>
      </c>
      <c r="M25" s="69">
        <f t="shared" si="0"/>
        <v>0</v>
      </c>
    </row>
    <row r="26" spans="2:13" ht="23" customHeight="1">
      <c r="B26" s="52">
        <f t="shared" si="4"/>
        <v>46070</v>
      </c>
      <c r="C26" s="53">
        <f t="shared" si="1"/>
        <v>46070</v>
      </c>
      <c r="D26" s="54"/>
      <c r="E26" s="66"/>
      <c r="F26" s="67"/>
      <c r="G26" s="63"/>
      <c r="H26" s="67"/>
      <c r="I26" s="64"/>
      <c r="J26" s="69"/>
      <c r="K26" s="71">
        <f t="shared" si="2"/>
        <v>0</v>
      </c>
      <c r="L26" s="65">
        <f t="shared" si="3"/>
        <v>-8.3333333333333329E-2</v>
      </c>
      <c r="M26" s="69">
        <f t="shared" si="0"/>
        <v>0</v>
      </c>
    </row>
    <row r="27" spans="2:13" ht="23" customHeight="1">
      <c r="B27" s="52">
        <f t="shared" si="4"/>
        <v>46071</v>
      </c>
      <c r="C27" s="53">
        <f t="shared" si="1"/>
        <v>46071</v>
      </c>
      <c r="D27" s="54"/>
      <c r="E27" s="66"/>
      <c r="F27" s="67"/>
      <c r="G27" s="63"/>
      <c r="H27" s="67"/>
      <c r="I27" s="64"/>
      <c r="J27" s="69"/>
      <c r="K27" s="71">
        <f t="shared" si="2"/>
        <v>0</v>
      </c>
      <c r="L27" s="65">
        <f t="shared" si="3"/>
        <v>-8.3333333333333329E-2</v>
      </c>
      <c r="M27" s="69">
        <f t="shared" si="0"/>
        <v>0</v>
      </c>
    </row>
    <row r="28" spans="2:13" ht="23" customHeight="1">
      <c r="B28" s="52">
        <f t="shared" si="4"/>
        <v>46072</v>
      </c>
      <c r="C28" s="53">
        <f t="shared" si="1"/>
        <v>46072</v>
      </c>
      <c r="D28" s="54"/>
      <c r="E28" s="66"/>
      <c r="F28" s="67"/>
      <c r="G28" s="63"/>
      <c r="H28" s="67"/>
      <c r="I28" s="64"/>
      <c r="J28" s="69"/>
      <c r="K28" s="71">
        <f t="shared" si="2"/>
        <v>0</v>
      </c>
      <c r="L28" s="65">
        <f t="shared" si="3"/>
        <v>-8.3333333333333329E-2</v>
      </c>
      <c r="M28" s="69">
        <f t="shared" si="0"/>
        <v>0</v>
      </c>
    </row>
    <row r="29" spans="2:13" ht="23" customHeight="1">
      <c r="B29" s="52">
        <f t="shared" si="4"/>
        <v>46073</v>
      </c>
      <c r="C29" s="53">
        <f t="shared" si="1"/>
        <v>46073</v>
      </c>
      <c r="D29" s="54"/>
      <c r="E29" s="66"/>
      <c r="F29" s="67"/>
      <c r="G29" s="63"/>
      <c r="H29" s="67"/>
      <c r="I29" s="64"/>
      <c r="J29" s="69"/>
      <c r="K29" s="71">
        <f t="shared" si="2"/>
        <v>0</v>
      </c>
      <c r="L29" s="65">
        <f t="shared" si="3"/>
        <v>-8.3333333333333329E-2</v>
      </c>
      <c r="M29" s="69">
        <f t="shared" si="0"/>
        <v>0</v>
      </c>
    </row>
    <row r="30" spans="2:13" ht="23" customHeight="1">
      <c r="B30" s="52">
        <f t="shared" si="4"/>
        <v>46074</v>
      </c>
      <c r="C30" s="53">
        <f t="shared" si="1"/>
        <v>46074</v>
      </c>
      <c r="D30" s="54"/>
      <c r="E30" s="66"/>
      <c r="F30" s="67"/>
      <c r="G30" s="63"/>
      <c r="H30" s="67"/>
      <c r="I30" s="64"/>
      <c r="J30" s="69"/>
      <c r="K30" s="71">
        <f t="shared" si="2"/>
        <v>0</v>
      </c>
      <c r="L30" s="65">
        <f t="shared" si="3"/>
        <v>-8.3333333333333329E-2</v>
      </c>
      <c r="M30" s="69">
        <f t="shared" si="0"/>
        <v>0</v>
      </c>
    </row>
    <row r="31" spans="2:13" ht="23" customHeight="1">
      <c r="B31" s="45">
        <f t="shared" si="4"/>
        <v>46075</v>
      </c>
      <c r="C31" s="46">
        <f t="shared" si="1"/>
        <v>46075</v>
      </c>
      <c r="D31" s="47"/>
      <c r="E31" s="66"/>
      <c r="F31" s="67"/>
      <c r="G31" s="63"/>
      <c r="H31" s="67"/>
      <c r="I31" s="64"/>
      <c r="J31" s="69"/>
      <c r="K31" s="71">
        <f t="shared" si="2"/>
        <v>0</v>
      </c>
      <c r="L31" s="65">
        <f t="shared" si="3"/>
        <v>-8.3333333333333329E-2</v>
      </c>
      <c r="M31" s="69">
        <f t="shared" si="0"/>
        <v>0</v>
      </c>
    </row>
    <row r="32" spans="2:13" ht="23" customHeight="1">
      <c r="B32" s="52">
        <f t="shared" si="4"/>
        <v>46076</v>
      </c>
      <c r="C32" s="53">
        <f t="shared" si="1"/>
        <v>46076</v>
      </c>
      <c r="D32" s="54"/>
      <c r="E32" s="66"/>
      <c r="F32" s="67"/>
      <c r="G32" s="63"/>
      <c r="H32" s="67"/>
      <c r="I32" s="64"/>
      <c r="J32" s="69"/>
      <c r="K32" s="71">
        <f t="shared" si="2"/>
        <v>0</v>
      </c>
      <c r="L32" s="65">
        <f t="shared" si="3"/>
        <v>-8.3333333333333329E-2</v>
      </c>
      <c r="M32" s="69">
        <f t="shared" si="0"/>
        <v>0</v>
      </c>
    </row>
    <row r="33" spans="2:15" ht="23" customHeight="1">
      <c r="B33" s="52">
        <f t="shared" si="4"/>
        <v>46077</v>
      </c>
      <c r="C33" s="53">
        <f t="shared" si="1"/>
        <v>46077</v>
      </c>
      <c r="D33" s="54"/>
      <c r="E33" s="66"/>
      <c r="F33" s="67"/>
      <c r="G33" s="63"/>
      <c r="H33" s="67"/>
      <c r="I33" s="64"/>
      <c r="J33" s="69"/>
      <c r="K33" s="71">
        <f t="shared" si="2"/>
        <v>0</v>
      </c>
      <c r="L33" s="65">
        <f t="shared" si="3"/>
        <v>-8.3333333333333329E-2</v>
      </c>
      <c r="M33" s="69">
        <f t="shared" si="0"/>
        <v>0</v>
      </c>
    </row>
    <row r="34" spans="2:15" ht="23" customHeight="1">
      <c r="B34" s="52">
        <f t="shared" si="4"/>
        <v>46078</v>
      </c>
      <c r="C34" s="53">
        <f t="shared" si="1"/>
        <v>46078</v>
      </c>
      <c r="D34" s="54"/>
      <c r="E34" s="66"/>
      <c r="F34" s="67"/>
      <c r="G34" s="63"/>
      <c r="H34" s="67"/>
      <c r="I34" s="64"/>
      <c r="J34" s="69"/>
      <c r="K34" s="71">
        <f t="shared" si="2"/>
        <v>0</v>
      </c>
      <c r="L34" s="65">
        <f t="shared" si="3"/>
        <v>-8.3333333333333329E-2</v>
      </c>
      <c r="M34" s="69">
        <f t="shared" si="0"/>
        <v>0</v>
      </c>
    </row>
    <row r="35" spans="2:15" ht="23" customHeight="1">
      <c r="B35" s="52">
        <f t="shared" si="4"/>
        <v>46079</v>
      </c>
      <c r="C35" s="53">
        <f t="shared" si="1"/>
        <v>46079</v>
      </c>
      <c r="D35" s="54"/>
      <c r="E35" s="66"/>
      <c r="F35" s="67"/>
      <c r="G35" s="63"/>
      <c r="H35" s="67"/>
      <c r="I35" s="64"/>
      <c r="J35" s="69"/>
      <c r="K35" s="71">
        <f t="shared" si="2"/>
        <v>0</v>
      </c>
      <c r="L35" s="65">
        <f t="shared" si="3"/>
        <v>-8.3333333333333329E-2</v>
      </c>
      <c r="M35" s="69">
        <f t="shared" si="0"/>
        <v>0</v>
      </c>
    </row>
    <row r="36" spans="2:15" ht="23" customHeight="1">
      <c r="B36" s="52">
        <f t="shared" si="4"/>
        <v>46080</v>
      </c>
      <c r="C36" s="53">
        <f t="shared" si="1"/>
        <v>46080</v>
      </c>
      <c r="D36" s="54"/>
      <c r="E36" s="66"/>
      <c r="F36" s="67"/>
      <c r="G36" s="63"/>
      <c r="H36" s="67"/>
      <c r="I36" s="64"/>
      <c r="J36" s="69"/>
      <c r="K36" s="71">
        <f t="shared" si="2"/>
        <v>0</v>
      </c>
      <c r="L36" s="65">
        <f t="shared" si="3"/>
        <v>-8.3333333333333329E-2</v>
      </c>
      <c r="M36" s="69">
        <f t="shared" si="0"/>
        <v>0</v>
      </c>
    </row>
    <row r="37" spans="2:15" ht="23" customHeight="1">
      <c r="B37" s="45">
        <f t="shared" si="4"/>
        <v>46081</v>
      </c>
      <c r="C37" s="46">
        <f t="shared" si="1"/>
        <v>46081</v>
      </c>
      <c r="D37" s="47"/>
      <c r="E37" s="66"/>
      <c r="F37" s="67"/>
      <c r="G37" s="63"/>
      <c r="H37" s="67"/>
      <c r="I37" s="64"/>
      <c r="J37" s="69"/>
      <c r="K37" s="71">
        <f t="shared" si="2"/>
        <v>0</v>
      </c>
      <c r="L37" s="65">
        <f t="shared" si="3"/>
        <v>-8.3333333333333329E-2</v>
      </c>
      <c r="M37" s="69">
        <f t="shared" si="0"/>
        <v>0</v>
      </c>
    </row>
    <row r="38" spans="2:15" ht="23" customHeight="1">
      <c r="B38" s="52" t="str">
        <f t="shared" si="4"/>
        <v/>
      </c>
      <c r="C38" s="53" t="str">
        <f t="shared" si="1"/>
        <v/>
      </c>
      <c r="D38" s="54"/>
      <c r="E38" s="66"/>
      <c r="F38" s="67"/>
      <c r="G38" s="63"/>
      <c r="H38" s="67"/>
      <c r="I38" s="64"/>
      <c r="J38" s="69"/>
      <c r="K38" s="71">
        <f t="shared" si="2"/>
        <v>0</v>
      </c>
      <c r="L38" s="65">
        <f t="shared" si="3"/>
        <v>-8.3333333333333329E-2</v>
      </c>
      <c r="M38" s="69">
        <f t="shared" si="0"/>
        <v>0</v>
      </c>
    </row>
    <row r="39" spans="2:15" ht="23" customHeight="1">
      <c r="B39" s="52" t="str">
        <f t="shared" si="4"/>
        <v/>
      </c>
      <c r="C39" s="53" t="str">
        <f t="shared" si="1"/>
        <v/>
      </c>
      <c r="D39" s="54"/>
      <c r="E39" s="66"/>
      <c r="F39" s="67"/>
      <c r="G39" s="63"/>
      <c r="H39" s="67"/>
      <c r="I39" s="64"/>
      <c r="J39" s="69"/>
      <c r="K39" s="71">
        <f t="shared" si="2"/>
        <v>0</v>
      </c>
      <c r="L39" s="65">
        <f t="shared" si="3"/>
        <v>-8.3333333333333329E-2</v>
      </c>
      <c r="M39" s="69">
        <f t="shared" si="0"/>
        <v>0</v>
      </c>
    </row>
    <row r="40" spans="2:15" ht="23" customHeight="1" thickBot="1">
      <c r="B40" s="55" t="str">
        <f>IF(MONTH($B$10)=MONTH($B$10+ROW()-ROW($B$10)),$B$10+ROW()-ROW($B$10),"")</f>
        <v/>
      </c>
      <c r="C40" s="56" t="str">
        <f t="shared" si="1"/>
        <v/>
      </c>
      <c r="D40" s="57"/>
      <c r="E40" s="66"/>
      <c r="F40" s="67"/>
      <c r="G40" s="63"/>
      <c r="H40" s="67"/>
      <c r="I40" s="64"/>
      <c r="J40" s="70"/>
      <c r="K40" s="71">
        <f t="shared" si="2"/>
        <v>0</v>
      </c>
      <c r="L40" s="65">
        <f t="shared" si="3"/>
        <v>-8.3333333333333329E-2</v>
      </c>
      <c r="M40" s="69">
        <f t="shared" si="0"/>
        <v>0</v>
      </c>
    </row>
    <row r="41" spans="2:15" ht="23" customHeight="1" thickBot="1">
      <c r="B41" s="75" t="s">
        <v>18</v>
      </c>
      <c r="C41" s="76"/>
      <c r="D41" s="76"/>
      <c r="E41" s="76"/>
      <c r="F41" s="76"/>
      <c r="G41" s="76"/>
      <c r="H41" s="76"/>
      <c r="I41" s="76"/>
      <c r="J41" s="76"/>
      <c r="K41" s="58">
        <f>SUMIF(K10:K40,"&gt;0")</f>
        <v>0</v>
      </c>
      <c r="L41" s="59">
        <f>SUMIF(L10:L40,"&gt;0")</f>
        <v>0</v>
      </c>
      <c r="M41" s="60">
        <f>SUMIF(M10:M40,"&gt;0")</f>
        <v>0</v>
      </c>
    </row>
    <row r="43" spans="2:15" ht="20.149999999999999" customHeight="1">
      <c r="G43" s="15" t="s">
        <v>19</v>
      </c>
      <c r="H43" s="16">
        <f>COUNTIF(D10:D40,"出勤")</f>
        <v>0</v>
      </c>
      <c r="I43" s="29"/>
      <c r="J43" s="5"/>
      <c r="K43" s="77" t="s">
        <v>22</v>
      </c>
      <c r="L43" s="77"/>
      <c r="M43" s="48">
        <f>K41+L41</f>
        <v>0</v>
      </c>
      <c r="O43" t="s">
        <v>23</v>
      </c>
    </row>
    <row r="44" spans="2:15" ht="20.149999999999999" customHeight="1">
      <c r="G44" s="17" t="s">
        <v>20</v>
      </c>
      <c r="H44" s="16">
        <f>COUNTIF(D10:D40,"欠勤")</f>
        <v>0</v>
      </c>
      <c r="I44" s="29"/>
      <c r="J44" s="5"/>
      <c r="K44" s="77" t="s">
        <v>24</v>
      </c>
      <c r="L44" s="77"/>
      <c r="M44" s="48">
        <v>7.3791666666666664</v>
      </c>
      <c r="O44" t="s">
        <v>25</v>
      </c>
    </row>
    <row r="45" spans="2:15" ht="20.149999999999999" customHeight="1">
      <c r="G45" s="15" t="s">
        <v>21</v>
      </c>
      <c r="H45" s="16">
        <f>COUNTIF(D10:D40,"有給")</f>
        <v>0</v>
      </c>
      <c r="I45" s="29"/>
      <c r="J45" s="5"/>
      <c r="K45" s="78" t="s">
        <v>26</v>
      </c>
      <c r="L45" s="79"/>
      <c r="M45" s="48">
        <f>M43-M44</f>
        <v>-7.3791666666666664</v>
      </c>
    </row>
    <row r="46" spans="2:15">
      <c r="K46" s="82" t="s">
        <v>27</v>
      </c>
      <c r="L46" s="82"/>
      <c r="M46" s="43">
        <f>M43-M41</f>
        <v>0</v>
      </c>
    </row>
    <row r="50" spans="10:15">
      <c r="J50" s="80" t="s">
        <v>28</v>
      </c>
      <c r="K50" s="80"/>
      <c r="L50" s="80"/>
      <c r="M50" s="80"/>
      <c r="N50" s="80"/>
    </row>
    <row r="51" spans="10:15">
      <c r="J51" s="80" t="s">
        <v>29</v>
      </c>
      <c r="K51" s="80" t="s">
        <v>30</v>
      </c>
      <c r="L51" s="80"/>
      <c r="M51" s="80"/>
      <c r="N51" s="80"/>
    </row>
    <row r="52" spans="10:15">
      <c r="J52" s="80"/>
      <c r="K52" s="42" t="s">
        <v>31</v>
      </c>
      <c r="L52" s="42" t="s">
        <v>32</v>
      </c>
      <c r="M52" s="42" t="s">
        <v>33</v>
      </c>
      <c r="N52" s="42" t="s">
        <v>34</v>
      </c>
    </row>
    <row r="53" spans="10:15">
      <c r="J53" s="34">
        <v>40</v>
      </c>
      <c r="K53" s="35">
        <v>160</v>
      </c>
      <c r="L53" s="35">
        <v>165.7</v>
      </c>
      <c r="M53" s="35">
        <v>171.4</v>
      </c>
      <c r="N53" s="35">
        <v>177.1</v>
      </c>
      <c r="O53" t="s">
        <v>35</v>
      </c>
    </row>
    <row r="54" spans="10:15">
      <c r="K54" s="81" t="s">
        <v>36</v>
      </c>
      <c r="L54" s="81"/>
      <c r="M54" s="81"/>
      <c r="N54" s="81"/>
    </row>
    <row r="55" spans="10:15">
      <c r="K55" s="36">
        <v>6.666666666666667</v>
      </c>
      <c r="L55" s="36">
        <v>6.9041666666666668</v>
      </c>
      <c r="M55" s="36">
        <v>7.1416666666666666</v>
      </c>
      <c r="N55" s="36">
        <v>7.3791666666666664</v>
      </c>
      <c r="O55" t="s">
        <v>37</v>
      </c>
    </row>
  </sheetData>
  <mergeCells count="11">
    <mergeCell ref="K45:L45"/>
    <mergeCell ref="J50:N50"/>
    <mergeCell ref="J51:J52"/>
    <mergeCell ref="K51:N51"/>
    <mergeCell ref="K54:N54"/>
    <mergeCell ref="K46:L46"/>
    <mergeCell ref="B3:C3"/>
    <mergeCell ref="B9:C9"/>
    <mergeCell ref="B41:J41"/>
    <mergeCell ref="K43:L43"/>
    <mergeCell ref="K44:L44"/>
  </mergeCells>
  <phoneticPr fontId="1"/>
  <conditionalFormatting sqref="B10:D40">
    <cfRule type="expression" dxfId="1" priority="1">
      <formula>WEEKDAY(B10)=7</formula>
    </cfRule>
    <cfRule type="expression" dxfId="0" priority="2">
      <formula>WEEKDAY(B10)=1</formula>
    </cfRule>
  </conditionalFormatting>
  <dataValidations count="1">
    <dataValidation type="list" allowBlank="1" showInputMessage="1" showErrorMessage="1" sqref="D10:D40" xr:uid="{17DE9583-0384-421C-8F0A-48161606A200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09eaf4-090a-49d3-be99-6522d234b05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D564F6048EA6A48853F2539F89CCC1C" ma:contentTypeVersion="10" ma:contentTypeDescription="新しいドキュメントを作成します。" ma:contentTypeScope="" ma:versionID="4a18b1098fb1c7aec704c19f64ba5879">
  <xsd:schema xmlns:xsd="http://www.w3.org/2001/XMLSchema" xmlns:xs="http://www.w3.org/2001/XMLSchema" xmlns:p="http://schemas.microsoft.com/office/2006/metadata/properties" xmlns:ns2="bc09eaf4-090a-49d3-be99-6522d234b050" targetNamespace="http://schemas.microsoft.com/office/2006/metadata/properties" ma:root="true" ma:fieldsID="ae196065f1733cb84a3a200b46807b8b" ns2:_="">
    <xsd:import namespace="bc09eaf4-090a-49d3-be99-6522d234b0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09eaf4-090a-49d3-be99-6522d234b0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41ae278e-5d78-4f9d-bb01-238a65ff16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AE54B0-A5D8-4B4E-83FD-A9E3FEC38783}">
  <ds:schemaRefs>
    <ds:schemaRef ds:uri="http://schemas.microsoft.com/office/2006/metadata/properties"/>
    <ds:schemaRef ds:uri="http://schemas.microsoft.com/office/infopath/2007/PartnerControls"/>
    <ds:schemaRef ds:uri="bc09eaf4-090a-49d3-be99-6522d234b050"/>
  </ds:schemaRefs>
</ds:datastoreItem>
</file>

<file path=customXml/itemProps2.xml><?xml version="1.0" encoding="utf-8"?>
<ds:datastoreItem xmlns:ds="http://schemas.openxmlformats.org/officeDocument/2006/customXml" ds:itemID="{3DC6A9E2-11A1-4989-BB5F-CD98B2CDC0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CC6DB4-7A3A-4536-9F33-B6D368E76A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09eaf4-090a-49d3-be99-6522d234b0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ひな型</vt:lpstr>
      <vt:lpstr>ひな型!Print_Area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templates-navi.com</dc:creator>
  <cp:keywords/>
  <dc:description/>
  <cp:lastModifiedBy>sakurai</cp:lastModifiedBy>
  <cp:revision/>
  <cp:lastPrinted>2025-05-23T05:47:17Z</cp:lastPrinted>
  <dcterms:created xsi:type="dcterms:W3CDTF">2014-10-13T08:38:48Z</dcterms:created>
  <dcterms:modified xsi:type="dcterms:W3CDTF">2026-03-06T12:42:34Z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0x0101009D564F6048EA6A48853F2539F89CCC1C</vt:lpwstr>
  </property>
  <property fmtid="{D5CDD505-2E9C-101B-9397-08002B2CF9AE}" pid="3" name="MediaServiceImageTags">
    <vt:lpwstr/>
  </property>
</Properties>
</file>